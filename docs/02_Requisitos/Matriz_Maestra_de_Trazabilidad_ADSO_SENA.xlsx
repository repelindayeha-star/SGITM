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ciones" sheetId="1" state="visible" r:id="rId1"/>
    <sheet xmlns:r="http://schemas.openxmlformats.org/officeDocument/2006/relationships" name="Matriz_Trazabilidad" sheetId="2" state="visible" r:id="rId2"/>
    <sheet xmlns:r="http://schemas.openxmlformats.org/officeDocument/2006/relationships" name="Resumen" sheetId="3" state="visible" r:id="rId3"/>
    <sheet xmlns:r="http://schemas.openxmlformats.org/officeDocument/2006/relationships" name="Catalogos" sheetId="4" state="hidden" r:id="rId4"/>
    <sheet xmlns:r="http://schemas.openxmlformats.org/officeDocument/2006/relationships" name="Control_Cambios" sheetId="5" state="visible" r:id="rId5"/>
  </sheets>
  <definedNames/>
  <calcPr calcId="124519" fullCalcOnLoad="1" refMode="A1" iterate="0" iterateCount="100" iterateDelta="0.001"/>
</workbook>
</file>

<file path=xl/styles.xml><?xml version="1.0" encoding="utf-8"?>
<styleSheet xmlns="http://schemas.openxmlformats.org/spreadsheetml/2006/main">
  <numFmts count="0"/>
  <fonts count="19">
    <font>
      <name val="Arial"/>
      <charset val="1"/>
      <family val="2"/>
      <sz val="10"/>
    </font>
    <font>
      <name val="Arial"/>
      <family val="0"/>
      <sz val="10"/>
    </font>
    <font>
      <name val="Arial"/>
      <family val="0"/>
      <sz val="10"/>
    </font>
    <font>
      <name val="Arial"/>
      <family val="0"/>
      <sz val="10"/>
    </font>
    <font>
      <name val="Calibri"/>
      <charset val="1"/>
      <family val="0"/>
      <sz val="11"/>
    </font>
    <font>
      <name val="Aptos"/>
      <charset val="1"/>
      <family val="0"/>
      <b val="1"/>
      <color rgb="FFFFFFFF"/>
      <sz val="18"/>
    </font>
    <font>
      <name val="Aptos"/>
      <charset val="1"/>
      <family val="0"/>
      <sz val="11"/>
    </font>
    <font>
      <name val="Aptos"/>
      <charset val="1"/>
      <family val="0"/>
      <b val="1"/>
      <color rgb="FFFFFFFF"/>
      <sz val="12"/>
    </font>
    <font>
      <name val="Aptos"/>
      <charset val="1"/>
      <family val="0"/>
      <color rgb="FF1F2937"/>
      <sz val="11"/>
    </font>
    <font>
      <name val="Aptos"/>
      <charset val="1"/>
      <family val="0"/>
      <b val="1"/>
      <color rgb="FF1F2937"/>
      <sz val="11"/>
    </font>
    <font>
      <name val="Aptos"/>
      <charset val="1"/>
      <family val="0"/>
      <b val="1"/>
      <color rgb="FFFFFFFF"/>
      <sz val="11"/>
    </font>
    <font>
      <name val="Calibri"/>
      <charset val="1"/>
      <family val="0"/>
      <b val="1"/>
      <color rgb="FFFFFFFF"/>
      <sz val="18"/>
    </font>
    <font>
      <name val="Calibri"/>
      <charset val="1"/>
      <family val="0"/>
      <b val="1"/>
      <color rgb="FFFFFFFF"/>
      <sz val="10"/>
    </font>
    <font>
      <name val="Aptos"/>
      <charset val="1"/>
      <family val="0"/>
      <color rgb="FF1F2937"/>
      <sz val="9"/>
    </font>
    <font>
      <name val="Calibri"/>
      <family val="2"/>
      <b val="1"/>
      <color rgb="FF000000"/>
      <sz val="18"/>
    </font>
    <font>
      <name val="Calibri"/>
      <family val="2"/>
      <color rgb="FF000000"/>
      <sz val="10"/>
    </font>
    <font>
      <name val="Calibri"/>
      <charset val="1"/>
      <family val="0"/>
      <b val="1"/>
      <color rgb="FFFFFFFF"/>
      <sz val="11"/>
    </font>
    <font>
      <name val="Calibri"/>
      <charset val="1"/>
      <family val="0"/>
      <color rgb="FF1F2937"/>
      <sz val="11"/>
    </font>
    <font>
      <name val="Calibri"/>
      <charset val="1"/>
      <family val="0"/>
      <b val="1"/>
      <color rgb="FFFFFFFF"/>
      <sz val="16"/>
    </font>
  </fonts>
  <fills count="9">
    <fill>
      <patternFill/>
    </fill>
    <fill>
      <patternFill patternType="gray125"/>
    </fill>
    <fill>
      <patternFill patternType="solid">
        <fgColor rgb="FF245900"/>
        <bgColor rgb="FF166534"/>
      </patternFill>
    </fill>
    <fill>
      <patternFill patternType="solid">
        <fgColor rgb="FF39A900"/>
        <bgColor rgb="FF166534"/>
      </patternFill>
    </fill>
    <fill>
      <patternFill patternType="solid">
        <fgColor rgb="FFEAF5E4"/>
        <bgColor rgb="FFF3F4F6"/>
      </patternFill>
    </fill>
    <fill>
      <patternFill patternType="solid">
        <fgColor rgb="FF2D58C8"/>
        <bgColor rgb="FF0066CC"/>
      </patternFill>
    </fill>
    <fill>
      <patternFill patternType="solid">
        <fgColor rgb="FFEAF0FF"/>
        <bgColor rgb="FFF3F4F6"/>
      </patternFill>
    </fill>
    <fill>
      <patternFill patternType="solid">
        <fgColor rgb="FF1F2937"/>
        <bgColor rgb="FF003366"/>
      </patternFill>
    </fill>
    <fill>
      <patternFill patternType="solid">
        <fgColor rgb="FFF3F4F6"/>
        <bgColor rgb="FFEAF0FF"/>
      </patternFill>
    </fill>
  </fills>
  <borders count="11">
    <border>
      <left/>
      <right/>
      <top/>
      <bottom/>
      <diagonal/>
    </border>
    <border>
      <left style="thin">
        <color rgb="FFD1D5DB"/>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1" applyAlignment="1" pivotButton="0" quotePrefix="0" xfId="20">
      <alignment horizontal="center" vertical="center" wrapText="1"/>
    </xf>
    <xf numFmtId="0" fontId="6" fillId="0" borderId="2" applyAlignment="1" pivotButton="0" quotePrefix="0" xfId="20">
      <alignment horizontal="general" vertical="bottom"/>
    </xf>
    <xf numFmtId="0" fontId="6" fillId="0" borderId="0" applyAlignment="1" pivotButton="0" quotePrefix="0" xfId="20">
      <alignment horizontal="general" vertical="bottom"/>
    </xf>
    <xf numFmtId="0" fontId="6" fillId="0" borderId="3" applyAlignment="1" pivotButton="0" quotePrefix="0" xfId="20">
      <alignment horizontal="general" vertical="bottom"/>
    </xf>
    <xf numFmtId="0" fontId="7" fillId="3" borderId="4" applyAlignment="1" pivotButton="0" quotePrefix="0" xfId="20">
      <alignment horizontal="left" vertical="center"/>
    </xf>
    <xf numFmtId="0" fontId="8" fillId="4" borderId="4" applyAlignment="1" pivotButton="0" quotePrefix="0" xfId="20">
      <alignment horizontal="general" vertical="center" wrapText="1"/>
    </xf>
    <xf numFmtId="0" fontId="7" fillId="5" borderId="4" applyAlignment="1" pivotButton="0" quotePrefix="0" xfId="20">
      <alignment horizontal="general" vertical="bottom"/>
    </xf>
    <xf numFmtId="0" fontId="9" fillId="6" borderId="4" applyAlignment="1" pivotButton="0" quotePrefix="0" xfId="20">
      <alignment horizontal="center" vertical="center" wrapText="1"/>
    </xf>
    <xf numFmtId="0" fontId="10" fillId="7" borderId="2" applyAlignment="1" pivotButton="0" quotePrefix="0" xfId="20">
      <alignment horizontal="center" vertical="center"/>
    </xf>
    <xf numFmtId="0" fontId="10" fillId="7" borderId="3" applyAlignment="1" pivotButton="0" quotePrefix="0" xfId="20">
      <alignment horizontal="center" vertical="center"/>
    </xf>
    <xf numFmtId="0" fontId="9" fillId="8" borderId="2" applyAlignment="1" pivotButton="0" quotePrefix="0" xfId="20">
      <alignment horizontal="center" vertical="center"/>
    </xf>
    <xf numFmtId="0" fontId="8" fillId="0" borderId="3" applyAlignment="1" pivotButton="0" quotePrefix="0" xfId="20">
      <alignment horizontal="general" vertical="center" wrapText="1"/>
    </xf>
    <xf numFmtId="0" fontId="10" fillId="3" borderId="4" applyAlignment="1" pivotButton="0" quotePrefix="0" xfId="20">
      <alignment horizontal="general" vertical="bottom"/>
    </xf>
    <xf numFmtId="0" fontId="10" fillId="7" borderId="2" applyAlignment="1" pivotButton="0" quotePrefix="0" xfId="20">
      <alignment horizontal="center" vertical="bottom"/>
    </xf>
    <xf numFmtId="0" fontId="10" fillId="7" borderId="0" applyAlignment="1" pivotButton="0" quotePrefix="0" xfId="20">
      <alignment horizontal="center" vertical="bottom"/>
    </xf>
    <xf numFmtId="0" fontId="10" fillId="7" borderId="3" applyAlignment="1" pivotButton="0" quotePrefix="0" xfId="20">
      <alignment horizontal="center" vertical="bottom"/>
    </xf>
    <xf numFmtId="0" fontId="6" fillId="0" borderId="2" applyAlignment="1" pivotButton="0" quotePrefix="0" xfId="20">
      <alignment horizontal="general" vertical="center" wrapText="1"/>
    </xf>
    <xf numFmtId="0" fontId="6" fillId="0" borderId="0" applyAlignment="1" pivotButton="0" quotePrefix="0" xfId="20">
      <alignment horizontal="general" vertical="center" wrapText="1"/>
    </xf>
    <xf numFmtId="0" fontId="6" fillId="0" borderId="5" applyAlignment="1" pivotButton="0" quotePrefix="0" xfId="20">
      <alignment horizontal="general" vertical="center" wrapText="1"/>
    </xf>
    <xf numFmtId="0" fontId="6" fillId="0" borderId="6" applyAlignment="1" pivotButton="0" quotePrefix="0" xfId="20">
      <alignment horizontal="general" vertical="center" wrapText="1"/>
    </xf>
    <xf numFmtId="0" fontId="6" fillId="0" borderId="6" applyAlignment="1" pivotButton="0" quotePrefix="0" xfId="20">
      <alignment horizontal="general" vertical="bottom"/>
    </xf>
    <xf numFmtId="0" fontId="6" fillId="0" borderId="7" applyAlignment="1" pivotButton="0" quotePrefix="0" xfId="20">
      <alignment horizontal="general" vertical="bottom"/>
    </xf>
    <xf numFmtId="0" fontId="11" fillId="2" borderId="0" applyAlignment="1" pivotButton="0" quotePrefix="0" xfId="20">
      <alignment horizontal="center" vertical="center"/>
    </xf>
    <xf numFmtId="0" fontId="12" fillId="3" borderId="8" applyAlignment="1" pivotButton="0" quotePrefix="0" xfId="20">
      <alignment horizontal="center" vertical="center" wrapText="1"/>
    </xf>
    <xf numFmtId="0" fontId="12" fillId="3" borderId="9" applyAlignment="1" pivotButton="0" quotePrefix="0" xfId="20">
      <alignment horizontal="center" vertical="center" wrapText="1"/>
    </xf>
    <xf numFmtId="0" fontId="12" fillId="3" borderId="10" applyAlignment="1" pivotButton="0" quotePrefix="0" xfId="20">
      <alignment horizontal="center" vertical="center" wrapText="1"/>
    </xf>
    <xf numFmtId="0" fontId="13" fillId="0" borderId="2" applyAlignment="1" pivotButton="0" quotePrefix="0" xfId="20">
      <alignment horizontal="general" vertical="top" wrapText="1"/>
    </xf>
    <xf numFmtId="0" fontId="13" fillId="0" borderId="0" applyAlignment="1" pivotButton="0" quotePrefix="0" xfId="20">
      <alignment horizontal="general" vertical="top" wrapText="1"/>
    </xf>
    <xf numFmtId="0" fontId="13" fillId="0" borderId="0" applyAlignment="1" pivotButton="0" quotePrefix="0" xfId="20">
      <alignment horizontal="general" vertical="top" wrapText="1"/>
    </xf>
    <xf numFmtId="0" fontId="13" fillId="0" borderId="3" applyAlignment="1" pivotButton="0" quotePrefix="0" xfId="20">
      <alignment horizontal="general" vertical="top" wrapText="1"/>
    </xf>
    <xf numFmtId="0" fontId="13" fillId="0" borderId="5" applyAlignment="1" pivotButton="0" quotePrefix="0" xfId="20">
      <alignment horizontal="general" vertical="top" wrapText="1"/>
    </xf>
    <xf numFmtId="0" fontId="13" fillId="0" borderId="6" applyAlignment="1" pivotButton="0" quotePrefix="0" xfId="20">
      <alignment horizontal="general" vertical="top" wrapText="1"/>
    </xf>
    <xf numFmtId="0" fontId="13" fillId="0" borderId="6" applyAlignment="1" pivotButton="0" quotePrefix="0" xfId="20">
      <alignment horizontal="general" vertical="top" wrapText="1"/>
    </xf>
    <xf numFmtId="0" fontId="13" fillId="0" borderId="7" applyAlignment="1" pivotButton="0" quotePrefix="0" xfId="20">
      <alignment horizontal="general" vertical="top" wrapText="1"/>
    </xf>
    <xf numFmtId="0" fontId="5" fillId="2" borderId="0" applyAlignment="1" pivotButton="0" quotePrefix="0" xfId="20">
      <alignment horizontal="center" vertical="center"/>
    </xf>
    <xf numFmtId="0" fontId="10" fillId="3" borderId="0" applyAlignment="1" pivotButton="0" quotePrefix="0" xfId="20">
      <alignment horizontal="center" vertical="bottom"/>
    </xf>
    <xf numFmtId="0" fontId="10" fillId="5" borderId="0" applyAlignment="1" pivotButton="0" quotePrefix="0" xfId="20">
      <alignment horizontal="center" vertical="bottom"/>
    </xf>
    <xf numFmtId="0" fontId="9" fillId="8" borderId="0" applyAlignment="1" pivotButton="0" quotePrefix="0" xfId="20">
      <alignment horizontal="general" vertical="bottom"/>
    </xf>
    <xf numFmtId="0" fontId="6" fillId="0" borderId="8" applyAlignment="1" pivotButton="0" quotePrefix="0" xfId="20">
      <alignment horizontal="general" vertical="bottom"/>
    </xf>
    <xf numFmtId="0" fontId="6" fillId="0" borderId="9" applyAlignment="1" pivotButton="0" quotePrefix="0" xfId="20">
      <alignment horizontal="general" vertical="bottom"/>
    </xf>
    <xf numFmtId="9" fontId="6" fillId="0" borderId="10" applyAlignment="1" pivotButton="0" quotePrefix="0" xfId="20">
      <alignment horizontal="general" vertical="bottom"/>
    </xf>
    <xf numFmtId="9" fontId="6" fillId="0" borderId="3" applyAlignment="1" pivotButton="0" quotePrefix="0" xfId="20">
      <alignment horizontal="general" vertical="bottom"/>
    </xf>
    <xf numFmtId="9" fontId="6" fillId="0" borderId="0" applyAlignment="1" pivotButton="0" quotePrefix="0" xfId="20">
      <alignment horizontal="general" vertical="bottom"/>
    </xf>
    <xf numFmtId="0" fontId="6" fillId="0" borderId="5" applyAlignment="1" pivotButton="0" quotePrefix="0" xfId="20">
      <alignment horizontal="general" vertical="bottom"/>
    </xf>
    <xf numFmtId="0" fontId="10" fillId="3" borderId="0" applyAlignment="1" pivotButton="0" quotePrefix="0" xfId="20">
      <alignment horizontal="general" vertical="bottom"/>
    </xf>
    <xf numFmtId="0" fontId="8" fillId="4" borderId="0" applyAlignment="1" pivotButton="0" quotePrefix="0" xfId="20">
      <alignment horizontal="general" vertical="center" wrapText="1"/>
    </xf>
    <xf numFmtId="0" fontId="16" fillId="7" borderId="8" applyAlignment="1" pivotButton="0" quotePrefix="0" xfId="20">
      <alignment horizontal="center" vertical="bottom" wrapText="1"/>
    </xf>
    <xf numFmtId="0" fontId="16" fillId="7" borderId="9" applyAlignment="1" pivotButton="0" quotePrefix="0" xfId="20">
      <alignment horizontal="center" vertical="bottom" wrapText="1"/>
    </xf>
    <xf numFmtId="0" fontId="16" fillId="7" borderId="10" applyAlignment="1" pivotButton="0" quotePrefix="0" xfId="20">
      <alignment horizontal="center" vertical="bottom" wrapText="1"/>
    </xf>
    <xf numFmtId="0" fontId="17" fillId="8" borderId="2" applyAlignment="1" pivotButton="0" quotePrefix="0" xfId="20">
      <alignment horizontal="general" vertical="bottom"/>
    </xf>
    <xf numFmtId="0" fontId="17" fillId="8" borderId="0" applyAlignment="1" pivotButton="0" quotePrefix="0" xfId="20">
      <alignment horizontal="general" vertical="bottom"/>
    </xf>
    <xf numFmtId="0" fontId="17" fillId="8" borderId="3" applyAlignment="1" pivotButton="0" quotePrefix="0" xfId="20">
      <alignment horizontal="general" vertical="bottom"/>
    </xf>
    <xf numFmtId="0" fontId="4" fillId="0" borderId="0" applyAlignment="1" pivotButton="0" quotePrefix="0" xfId="20">
      <alignment horizontal="general" vertical="bottom"/>
    </xf>
    <xf numFmtId="0" fontId="4" fillId="0" borderId="3" applyAlignment="1" pivotButton="0" quotePrefix="0" xfId="20">
      <alignment horizontal="general" vertical="bottom"/>
    </xf>
    <xf numFmtId="0" fontId="4" fillId="0" borderId="2" applyAlignment="1" pivotButton="0" quotePrefix="0" xfId="20">
      <alignment horizontal="general" vertical="bottom"/>
    </xf>
    <xf numFmtId="0" fontId="4" fillId="0" borderId="5" applyAlignment="1" pivotButton="0" quotePrefix="0" xfId="20">
      <alignment horizontal="general" vertical="bottom"/>
    </xf>
    <xf numFmtId="0" fontId="4" fillId="0" borderId="6" applyAlignment="1" pivotButton="0" quotePrefix="0" xfId="20">
      <alignment horizontal="general" vertical="bottom"/>
    </xf>
    <xf numFmtId="0" fontId="4" fillId="0" borderId="7" applyAlignment="1" pivotButton="0" quotePrefix="0" xfId="20">
      <alignment horizontal="general" vertical="bottom"/>
    </xf>
    <xf numFmtId="0" fontId="18" fillId="2" borderId="0" applyAlignment="1" pivotButton="0" quotePrefix="0" xfId="20">
      <alignment horizontal="center" vertical="center"/>
    </xf>
    <xf numFmtId="0" fontId="16" fillId="3" borderId="8" applyAlignment="1" pivotButton="0" quotePrefix="0" xfId="20">
      <alignment horizontal="center" vertical="bottom" wrapText="1"/>
    </xf>
    <xf numFmtId="0" fontId="16" fillId="3" borderId="9" applyAlignment="1" pivotButton="0" quotePrefix="0" xfId="20">
      <alignment horizontal="center" vertical="bottom" wrapText="1"/>
    </xf>
    <xf numFmtId="0" fontId="16" fillId="3" borderId="10" applyAlignment="1" pivotButton="0" quotePrefix="0" xfId="20">
      <alignment horizontal="center" vertical="bottom" wrapText="1"/>
    </xf>
    <xf numFmtId="0" fontId="4" fillId="0" borderId="2" applyAlignment="1" pivotButton="0" quotePrefix="0" xfId="20">
      <alignment horizontal="general" vertical="top" wrapText="1"/>
    </xf>
    <xf numFmtId="0" fontId="4" fillId="0" borderId="0" applyAlignment="1" pivotButton="0" quotePrefix="0" xfId="20">
      <alignment horizontal="general" vertical="top" wrapText="1"/>
    </xf>
    <xf numFmtId="0" fontId="4" fillId="0" borderId="3" applyAlignment="1" pivotButton="0" quotePrefix="0" xfId="20">
      <alignment horizontal="general" vertical="top" wrapText="1"/>
    </xf>
    <xf numFmtId="0" fontId="4" fillId="0" borderId="5" applyAlignment="1" pivotButton="0" quotePrefix="0" xfId="20">
      <alignment horizontal="general" vertical="top" wrapText="1"/>
    </xf>
    <xf numFmtId="0" fontId="4" fillId="0" borderId="6" applyAlignment="1" pivotButton="0" quotePrefix="0" xfId="20">
      <alignment horizontal="general" vertical="top" wrapText="1"/>
    </xf>
    <xf numFmtId="0" fontId="4" fillId="0" borderId="7" applyAlignment="1" pivotButton="0" quotePrefix="0" xfId="20">
      <alignment horizontal="general"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20">
      <alignment horizontal="center" vertical="center" wrapText="1"/>
    </xf>
    <xf numFmtId="0" fontId="0" fillId="0" borderId="9" pivotButton="0" quotePrefix="0" xfId="0"/>
    <xf numFmtId="0" fontId="0" fillId="0" borderId="10" pivotButton="0" quotePrefix="0" xfId="0"/>
    <xf numFmtId="0" fontId="0" fillId="0" borderId="2" pivotButton="0" quotePrefix="0" xfId="0"/>
    <xf numFmtId="0" fontId="0" fillId="0" borderId="3" pivotButton="0" quotePrefix="0" xfId="0"/>
    <xf numFmtId="0" fontId="6" fillId="0" borderId="2" applyAlignment="1" pivotButton="0" quotePrefix="0" xfId="20">
      <alignment horizontal="general" vertical="bottom"/>
    </xf>
    <xf numFmtId="0" fontId="6" fillId="0" borderId="0" applyAlignment="1" pivotButton="0" quotePrefix="0" xfId="20">
      <alignment horizontal="general" vertical="bottom"/>
    </xf>
    <xf numFmtId="0" fontId="6" fillId="0" borderId="3" applyAlignment="1" pivotButton="0" quotePrefix="0" xfId="20">
      <alignment horizontal="general" vertical="bottom"/>
    </xf>
    <xf numFmtId="0" fontId="7" fillId="3" borderId="4" applyAlignment="1" pivotButton="0" quotePrefix="0" xfId="20">
      <alignment horizontal="left" vertical="center"/>
    </xf>
    <xf numFmtId="0" fontId="8" fillId="4" borderId="4" applyAlignment="1" pivotButton="0" quotePrefix="0" xfId="20">
      <alignment horizontal="general" vertical="center" wrapText="1"/>
    </xf>
    <xf numFmtId="0" fontId="7" fillId="5" borderId="4" applyAlignment="1" pivotButton="0" quotePrefix="0" xfId="20">
      <alignment horizontal="general" vertical="bottom"/>
    </xf>
    <xf numFmtId="0" fontId="9" fillId="6" borderId="4" applyAlignment="1" pivotButton="0" quotePrefix="0" xfId="20">
      <alignment horizontal="center" vertical="center" wrapText="1"/>
    </xf>
    <xf numFmtId="0" fontId="10" fillId="7" borderId="2" applyAlignment="1" pivotButton="0" quotePrefix="0" xfId="20">
      <alignment horizontal="center" vertical="center"/>
    </xf>
    <xf numFmtId="0" fontId="10" fillId="7" borderId="3" applyAlignment="1" pivotButton="0" quotePrefix="0" xfId="20">
      <alignment horizontal="center" vertical="center"/>
    </xf>
    <xf numFmtId="0" fontId="9" fillId="8" borderId="2" applyAlignment="1" pivotButton="0" quotePrefix="0" xfId="20">
      <alignment horizontal="center" vertical="center"/>
    </xf>
    <xf numFmtId="0" fontId="8" fillId="0" borderId="3" applyAlignment="1" pivotButton="0" quotePrefix="0" xfId="20">
      <alignment horizontal="general" vertical="center" wrapText="1"/>
    </xf>
    <xf numFmtId="0" fontId="10" fillId="3" borderId="4" applyAlignment="1" pivotButton="0" quotePrefix="0" xfId="20">
      <alignment horizontal="general" vertical="bottom"/>
    </xf>
    <xf numFmtId="0" fontId="10" fillId="7" borderId="2" applyAlignment="1" pivotButton="0" quotePrefix="0" xfId="20">
      <alignment horizontal="center" vertical="bottom"/>
    </xf>
    <xf numFmtId="0" fontId="10" fillId="7" borderId="0" applyAlignment="1" pivotButton="0" quotePrefix="0" xfId="20">
      <alignment horizontal="center" vertical="bottom"/>
    </xf>
    <xf numFmtId="0" fontId="10" fillId="7" borderId="3" applyAlignment="1" pivotButton="0" quotePrefix="0" xfId="20">
      <alignment horizontal="center" vertical="bottom"/>
    </xf>
    <xf numFmtId="0" fontId="6" fillId="0" borderId="2" applyAlignment="1" pivotButton="0" quotePrefix="0" xfId="20">
      <alignment horizontal="general" vertical="center" wrapText="1"/>
    </xf>
    <xf numFmtId="0" fontId="6" fillId="0" borderId="0" applyAlignment="1" pivotButton="0" quotePrefix="0" xfId="20">
      <alignment horizontal="general" vertical="center" wrapText="1"/>
    </xf>
    <xf numFmtId="0" fontId="6" fillId="0" borderId="5" applyAlignment="1" pivotButton="0" quotePrefix="0" xfId="20">
      <alignment horizontal="general" vertical="center" wrapText="1"/>
    </xf>
    <xf numFmtId="0" fontId="6" fillId="0" borderId="6" applyAlignment="1" pivotButton="0" quotePrefix="0" xfId="20">
      <alignment horizontal="general" vertical="center" wrapText="1"/>
    </xf>
    <xf numFmtId="0" fontId="6" fillId="0" borderId="6" applyAlignment="1" pivotButton="0" quotePrefix="0" xfId="20">
      <alignment horizontal="general" vertical="bottom"/>
    </xf>
    <xf numFmtId="0" fontId="6" fillId="0" borderId="7" applyAlignment="1" pivotButton="0" quotePrefix="0" xfId="20">
      <alignment horizontal="general" vertical="bottom"/>
    </xf>
    <xf numFmtId="0" fontId="11" fillId="2" borderId="0" applyAlignment="1" pivotButton="0" quotePrefix="0" xfId="20">
      <alignment horizontal="center" vertical="center"/>
    </xf>
    <xf numFmtId="0" fontId="12" fillId="3" borderId="8" applyAlignment="1" pivotButton="0" quotePrefix="0" xfId="20">
      <alignment horizontal="center" vertical="center" wrapText="1"/>
    </xf>
    <xf numFmtId="0" fontId="12" fillId="3" borderId="9" applyAlignment="1" pivotButton="0" quotePrefix="0" xfId="20">
      <alignment horizontal="center" vertical="center" wrapText="1"/>
    </xf>
    <xf numFmtId="0" fontId="12" fillId="3" borderId="10" applyAlignment="1" pivotButton="0" quotePrefix="0" xfId="20">
      <alignment horizontal="center" vertical="center" wrapText="1"/>
    </xf>
    <xf numFmtId="0" fontId="13" fillId="0" borderId="2" applyAlignment="1" pivotButton="0" quotePrefix="0" xfId="20">
      <alignment horizontal="general" vertical="top" wrapText="1"/>
    </xf>
    <xf numFmtId="0" fontId="13" fillId="0" borderId="0" applyAlignment="1" pivotButton="0" quotePrefix="0" xfId="20">
      <alignment horizontal="general" vertical="top" wrapText="1"/>
    </xf>
    <xf numFmtId="0" fontId="13" fillId="0" borderId="3" applyAlignment="1" pivotButton="0" quotePrefix="0" xfId="20">
      <alignment horizontal="general" vertical="top" wrapText="1"/>
    </xf>
    <xf numFmtId="0" fontId="13" fillId="0" borderId="5" applyAlignment="1" pivotButton="0" quotePrefix="0" xfId="20">
      <alignment horizontal="general" vertical="top" wrapText="1"/>
    </xf>
    <xf numFmtId="0" fontId="13" fillId="0" borderId="6" applyAlignment="1" pivotButton="0" quotePrefix="0" xfId="20">
      <alignment horizontal="general" vertical="top" wrapText="1"/>
    </xf>
    <xf numFmtId="0" fontId="13" fillId="0" borderId="7" applyAlignment="1" pivotButton="0" quotePrefix="0" xfId="20">
      <alignment horizontal="general" vertical="top" wrapText="1"/>
    </xf>
    <xf numFmtId="0" fontId="5" fillId="2" borderId="0" applyAlignment="1" pivotButton="0" quotePrefix="0" xfId="20">
      <alignment horizontal="center" vertical="center"/>
    </xf>
    <xf numFmtId="0" fontId="10" fillId="3" borderId="0" applyAlignment="1" pivotButton="0" quotePrefix="0" xfId="20">
      <alignment horizontal="center" vertical="bottom"/>
    </xf>
    <xf numFmtId="0" fontId="10" fillId="5" borderId="0" applyAlignment="1" pivotButton="0" quotePrefix="0" xfId="20">
      <alignment horizontal="center" vertical="bottom"/>
    </xf>
    <xf numFmtId="0" fontId="9" fillId="8" borderId="0" applyAlignment="1" pivotButton="0" quotePrefix="0" xfId="20">
      <alignment horizontal="general" vertical="bottom"/>
    </xf>
    <xf numFmtId="0" fontId="6" fillId="0" borderId="8" applyAlignment="1" pivotButton="0" quotePrefix="0" xfId="20">
      <alignment horizontal="general" vertical="bottom"/>
    </xf>
    <xf numFmtId="0" fontId="6" fillId="0" borderId="9" applyAlignment="1" pivotButton="0" quotePrefix="0" xfId="20">
      <alignment horizontal="general" vertical="bottom"/>
    </xf>
    <xf numFmtId="9" fontId="6" fillId="0" borderId="10" applyAlignment="1" pivotButton="0" quotePrefix="0" xfId="20">
      <alignment horizontal="general" vertical="bottom"/>
    </xf>
    <xf numFmtId="9" fontId="6" fillId="0" borderId="3" applyAlignment="1" pivotButton="0" quotePrefix="0" xfId="20">
      <alignment horizontal="general" vertical="bottom"/>
    </xf>
    <xf numFmtId="9" fontId="6" fillId="0" borderId="0" applyAlignment="1" pivotButton="0" quotePrefix="0" xfId="20">
      <alignment horizontal="general" vertical="bottom"/>
    </xf>
    <xf numFmtId="0" fontId="6" fillId="0" borderId="5" applyAlignment="1" pivotButton="0" quotePrefix="0" xfId="20">
      <alignment horizontal="general" vertical="bottom"/>
    </xf>
    <xf numFmtId="0" fontId="10" fillId="3" borderId="0" applyAlignment="1" pivotButton="0" quotePrefix="0" xfId="20">
      <alignment horizontal="general" vertical="bottom"/>
    </xf>
    <xf numFmtId="0" fontId="8" fillId="4" borderId="0" applyAlignment="1" pivotButton="0" quotePrefix="0" xfId="20">
      <alignment horizontal="general" vertical="center" wrapText="1"/>
    </xf>
    <xf numFmtId="0" fontId="16" fillId="7" borderId="8" applyAlignment="1" pivotButton="0" quotePrefix="0" xfId="20">
      <alignment horizontal="center" vertical="bottom" wrapText="1"/>
    </xf>
    <xf numFmtId="0" fontId="16" fillId="7" borderId="9" applyAlignment="1" pivotButton="0" quotePrefix="0" xfId="20">
      <alignment horizontal="center" vertical="bottom" wrapText="1"/>
    </xf>
    <xf numFmtId="0" fontId="16" fillId="7" borderId="10" applyAlignment="1" pivotButton="0" quotePrefix="0" xfId="20">
      <alignment horizontal="center" vertical="bottom" wrapText="1"/>
    </xf>
    <xf numFmtId="0" fontId="17" fillId="8" borderId="2" applyAlignment="1" pivotButton="0" quotePrefix="0" xfId="20">
      <alignment horizontal="general" vertical="bottom"/>
    </xf>
    <xf numFmtId="0" fontId="17" fillId="8" borderId="0" applyAlignment="1" pivotButton="0" quotePrefix="0" xfId="20">
      <alignment horizontal="general" vertical="bottom"/>
    </xf>
    <xf numFmtId="0" fontId="17" fillId="8" borderId="3" applyAlignment="1" pivotButton="0" quotePrefix="0" xfId="20">
      <alignment horizontal="general" vertical="bottom"/>
    </xf>
    <xf numFmtId="0" fontId="4" fillId="0" borderId="0" applyAlignment="1" pivotButton="0" quotePrefix="0" xfId="20">
      <alignment horizontal="general" vertical="bottom"/>
    </xf>
    <xf numFmtId="0" fontId="4" fillId="0" borderId="3" applyAlignment="1" pivotButton="0" quotePrefix="0" xfId="20">
      <alignment horizontal="general" vertical="bottom"/>
    </xf>
    <xf numFmtId="0" fontId="4" fillId="0" borderId="2" applyAlignment="1" pivotButton="0" quotePrefix="0" xfId="20">
      <alignment horizontal="general" vertical="bottom"/>
    </xf>
    <xf numFmtId="0" fontId="4" fillId="0" borderId="5" applyAlignment="1" pivotButton="0" quotePrefix="0" xfId="20">
      <alignment horizontal="general" vertical="bottom"/>
    </xf>
    <xf numFmtId="0" fontId="4" fillId="0" borderId="6" applyAlignment="1" pivotButton="0" quotePrefix="0" xfId="20">
      <alignment horizontal="general" vertical="bottom"/>
    </xf>
    <xf numFmtId="0" fontId="4" fillId="0" borderId="7" applyAlignment="1" pivotButton="0" quotePrefix="0" xfId="20">
      <alignment horizontal="general" vertical="bottom"/>
    </xf>
    <xf numFmtId="0" fontId="18" fillId="2" borderId="0" applyAlignment="1" pivotButton="0" quotePrefix="0" xfId="20">
      <alignment horizontal="center" vertical="center"/>
    </xf>
    <xf numFmtId="0" fontId="16" fillId="3" borderId="8" applyAlignment="1" pivotButton="0" quotePrefix="0" xfId="20">
      <alignment horizontal="center" vertical="bottom" wrapText="1"/>
    </xf>
    <xf numFmtId="0" fontId="16" fillId="3" borderId="9" applyAlignment="1" pivotButton="0" quotePrefix="0" xfId="20">
      <alignment horizontal="center" vertical="bottom" wrapText="1"/>
    </xf>
    <xf numFmtId="0" fontId="16" fillId="3" borderId="10" applyAlignment="1" pivotButton="0" quotePrefix="0" xfId="20">
      <alignment horizontal="center" vertical="bottom" wrapText="1"/>
    </xf>
    <xf numFmtId="0" fontId="4" fillId="0" borderId="2" applyAlignment="1" pivotButton="0" quotePrefix="0" xfId="20">
      <alignment horizontal="general" vertical="top" wrapText="1"/>
    </xf>
    <xf numFmtId="0" fontId="4" fillId="0" borderId="0" applyAlignment="1" pivotButton="0" quotePrefix="0" xfId="20">
      <alignment horizontal="general" vertical="top" wrapText="1"/>
    </xf>
    <xf numFmtId="0" fontId="4" fillId="0" borderId="3" applyAlignment="1" pivotButton="0" quotePrefix="0" xfId="20">
      <alignment horizontal="general" vertical="top" wrapText="1"/>
    </xf>
    <xf numFmtId="0" fontId="4" fillId="0" borderId="5" applyAlignment="1" pivotButton="0" quotePrefix="0" xfId="20">
      <alignment horizontal="general" vertical="top" wrapText="1"/>
    </xf>
    <xf numFmtId="0" fontId="4" fillId="0" borderId="6" applyAlignment="1" pivotButton="0" quotePrefix="0" xfId="20">
      <alignment horizontal="general" vertical="top" wrapText="1"/>
    </xf>
    <xf numFmtId="0" fontId="4" fillId="0" borderId="7" applyAlignment="1" pivotButton="0" quotePrefix="0" xfId="2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7">
    <dxf>
      <fill>
        <patternFill patternType="solid">
          <fgColor rgb="FF39A900"/>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FF7ED"/>
          <bgColor rgb="FF000000"/>
        </patternFill>
      </fill>
    </dxf>
    <dxf>
      <fill>
        <patternFill patternType="solid">
          <fgColor rgb="FFB7791F"/>
          <bgColor rgb="FF000000"/>
        </patternFill>
      </fill>
    </dxf>
    <dxf>
      <fill>
        <patternFill patternType="solid">
          <fgColor rgb="FFDCFCE7"/>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166534"/>
          <bgColor rgb="FF000000"/>
        </patternFill>
      </fill>
    </dxf>
    <dxf>
      <fill>
        <patternFill patternType="solid">
          <fgColor rgb="FF92400E"/>
          <bgColor rgb="FF000000"/>
        </patternFill>
      </fill>
    </dxf>
    <dxf>
      <fill>
        <patternFill patternType="solid">
          <fgColor rgb="FF991B1B"/>
          <bgColor rgb="FF000000"/>
        </patternFill>
      </fill>
    </dxf>
    <dxf>
      <font>
        <b val="1"/>
        <color rgb="FF166534"/>
      </font>
      <fill>
        <patternFill>
          <bgColor rgb="FFDCFCE7"/>
        </patternFill>
      </fill>
    </dxf>
    <dxf>
      <font>
        <b val="1"/>
        <color rgb="FF92400E"/>
      </font>
      <fill>
        <patternFill>
          <bgColor rgb="FFFEF3C7"/>
        </patternFill>
      </fill>
    </dxf>
    <dxf>
      <font>
        <b val="1"/>
        <color rgb="FF991B1B"/>
      </font>
      <fill>
        <patternFill>
          <bgColor rgb="FFFEE2E2"/>
        </patternFill>
      </fill>
    </dxf>
    <dxf>
      <font>
        <b val="1"/>
        <color rgb="FFC62828"/>
      </font>
      <fill>
        <patternFill>
          <bgColor rgb="FFFEE2E2"/>
        </patternFill>
      </fill>
    </dxf>
    <dxf>
      <font>
        <b val="1"/>
        <color rgb="FFB7791F"/>
      </font>
      <fill>
        <patternFill>
          <bgColor rgb="FFFFF7ED"/>
        </patternFill>
      </fill>
    </dxf>
  </dxfs>
  <colors>
    <indexedColors>
      <rgbColor rgb="FF000000"/>
      <rgbColor rgb="FFFFFFFF"/>
      <rgbColor rgb="FFFF0000"/>
      <rgbColor rgb="FF00FF00"/>
      <rgbColor rgb="FF0000FF"/>
      <rgbColor rgb="FFFFFF00"/>
      <rgbColor rgb="FFFF00FF"/>
      <rgbColor rgb="FF00FFFF"/>
      <rgbColor rgb="FF991B1B"/>
      <rgbColor rgb="FF166534"/>
      <rgbColor rgb="FF000080"/>
      <rgbColor rgb="FFB7791F"/>
      <rgbColor rgb="FF800080"/>
      <rgbColor rgb="FF156082"/>
      <rgbColor rgb="FFCCCCCC"/>
      <rgbColor rgb="FF8B8B8B"/>
      <rgbColor rgb="FF9999FF"/>
      <rgbColor rgb="FFC62828"/>
      <rgbColor rgb="FFFEF3C7"/>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AF0FF"/>
      <rgbColor rgb="FFEAF5E4"/>
      <rgbColor rgb="FFFFF7ED"/>
      <rgbColor rgb="FFD9D9D9"/>
      <rgbColor rgb="FFF3F4F6"/>
      <rgbColor rgb="FFCC99FF"/>
      <rgbColor rgb="FFFEE2E2"/>
      <rgbColor rgb="FF2D58C8"/>
      <rgbColor rgb="FF33CCCC"/>
      <rgbColor rgb="FF99CC00"/>
      <rgbColor rgb="FFFFCC00"/>
      <rgbColor rgb="FFFF9900"/>
      <rgbColor rgb="FFFF6600"/>
      <rgbColor rgb="FF666699"/>
      <rgbColor rgb="FF969696"/>
      <rgbColor rgb="FF003366"/>
      <rgbColor rgb="FF39A900"/>
      <rgbColor rgb="FF003300"/>
      <rgbColor rgb="FF245900"/>
      <rgbColor rgb="FF92400E"/>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ea typeface="Calibri"/>
              </a:defRPr>
            </a:pPr>
            <a:r>
              <a:rPr sz="1800" b="1" strike="noStrike" spc="-1">
                <a:solidFill>
                  <a:srgbClr val="000000"/>
                </a:solidFill>
                <a:latin typeface="Calibri"/>
                <a:ea typeface="Calibri"/>
              </a:rPr>
              <a:t>Estado de cobertura</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"Cantidad"</f>
              <strCache>
                <ptCount val="1"/>
                <pt idx="0">
                  <v>Cantidad</v>
                </pt>
              </strCache>
            </strRef>
          </tx>
          <spPr>
            <a:solidFill xmlns:a="http://schemas.openxmlformats.org/drawingml/2006/main">
              <a:srgbClr val="156082"/>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ea typeface="Calibri"/>
                  </a:defRPr>
                </a:pPr>
                <a:r>
                  <a:t>None</a:t>
                </a:r>
              </a:p>
            </txPr>
            <dLblPos val="outEnd"/>
            <showLegendKey val="0"/>
            <showVal val="0"/>
            <showCatName val="0"/>
            <showSerName val="0"/>
            <showPercent val="0"/>
            <showLeaderLines val="0"/>
          </dLbls>
          <cat>
            <strRef>
              <f>Resumen!$D$5:$D$7</f>
              <strCache>
                <ptCount val="3"/>
                <pt idx="0">
                  <v>Completa</v>
                </pt>
                <pt idx="1">
                  <v>Parcial</v>
                </pt>
                <pt idx="2">
                  <v>Sin iniciar</v>
                </pt>
              </strCache>
            </strRef>
          </cat>
          <val>
            <numRef>
              <f>Resumen!$E$5:$E$7</f>
              <numCache>
                <formatCode>General</formatCode>
                <ptCount val="3"/>
                <pt idx="0">
                  <v>1</v>
                </pt>
                <pt idx="1">
                  <v>1</v>
                </pt>
                <pt idx="2">
                  <v>98</v>
                </pt>
              </numCache>
            </numRef>
          </val>
        </ser>
        <gapWidth val="150"/>
        <overlap val="0"/>
        <axId val="25438346"/>
        <axId val="14294128"/>
      </barChart>
      <catAx>
        <axId val="25438346"/>
        <scaling>
          <orientation val="minMax"/>
        </scaling>
        <delete val="0"/>
        <axPos val="b"/>
        <majorGridlines>
          <spPr>
            <a:ln xmlns:a="http://schemas.openxmlformats.org/drawingml/2006/main" w="9360">
              <a:solidFill>
                <a:srgbClr val="cccccc"/>
              </a:solidFill>
              <a:prstDash val="dash"/>
              <a:round/>
            </a:ln>
          </spPr>
        </majorGridlines>
        <numFmt formatCode="General" sourceLinked="0"/>
        <majorTickMark val="none"/>
        <minorTickMark val="none"/>
        <tickLblPos val="nextTo"/>
        <spPr>
          <a:ln xmlns:a="http://schemas.openxmlformats.org/drawingml/2006/main" w="1260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ea typeface="Calibri"/>
              </a:defRPr>
            </a:pPr>
            <a:r>
              <a:t>None</a:t>
            </a:r>
          </a:p>
        </txPr>
        <crossAx val="14294128"/>
        <crosses val="autoZero"/>
        <auto val="1"/>
        <lblAlgn val="ctr"/>
        <lblOffset val="100"/>
        <noMultiLvlLbl val="0"/>
      </catAx>
      <valAx>
        <axId val="14294128"/>
        <scaling>
          <orientation val="minMax"/>
        </scaling>
        <delete val="0"/>
        <axPos val="l"/>
        <majorGridlines>
          <spPr>
            <a:ln xmlns:a="http://schemas.openxmlformats.org/drawingml/2006/main" w="9360">
              <a:solidFill>
                <a:srgbClr val="cccccc"/>
              </a:solidFill>
              <a:prstDash val="dash"/>
              <a:round/>
            </a:ln>
          </spPr>
        </majorGridlines>
        <numFmt formatCode="General" sourceLinked="0"/>
        <majorTickMark val="none"/>
        <minorTickMark val="none"/>
        <tickLblPos val="nextTo"/>
        <spPr>
          <a:ln xmlns:a="http://schemas.openxmlformats.org/drawingml/2006/main" w="1260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ea typeface="Calibri"/>
              </a:defRPr>
            </a:pPr>
            <a:r>
              <a:t>None</a:t>
            </a:r>
          </a:p>
        </txPr>
        <crossAx val="25438346"/>
        <crosses val="autoZero"/>
        <crossBetween val="between"/>
      </valAx>
    </plotArea>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0</colOff>
      <row>18</row>
      <rowOff>0</rowOff>
    </from>
    <to>
      <col>7</col>
      <colOff>1267920</colOff>
      <row>35</row>
      <rowOff>189720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trizTrazabilidadTable" displayName="MatrizTrazabilidadTable" ref="A3:AE103" headerRowCount="1" totalsRowCount="0" totalsRowShown="0">
  <tableColumns count="31">
    <tableColumn id="1" name="Código de fila"/>
    <tableColumn id="2" name="Versión"/>
    <tableColumn id="3" name="Módulo"/>
    <tableColumn id="4" name="Tipo de requisito"/>
    <tableColumn id="5" name="Prioridad"/>
    <tableColumn id="6" name="Problema"/>
    <tableColumn id="7" name="Objetivo"/>
    <tableColumn id="8" name="Stakeholder"/>
    <tableColumn id="9" name="Alcance / Entregable"/>
    <tableColumn id="10" name="Requisito"/>
    <tableColumn id="11" name="Título del requisito"/>
    <tableColumn id="12" name="Regla de negocio"/>
    <tableColumn id="13" name="Historia de usuario"/>
    <tableColumn id="14" name="Caso de uso"/>
    <tableColumn id="15" name="Pantalla / Flujo UX"/>
    <tableColumn id="16" name="Componente técnico"/>
    <tableColumn id="17" name="Entidad / Colección"/>
    <tableColumn id="18" name="Endpoint / Integración"/>
    <tableColumn id="19" name="Caso de prueba"/>
    <tableColumn id="20" name="Tipo de prueba"/>
    <tableColumn id="21" name="Resultado de prueba"/>
    <tableColumn id="22" name="Evidencia"/>
    <tableColumn id="23" name="Ubicación de evidencia"/>
    <tableColumn id="24" name="Responsable funcional"/>
    <tableColumn id="25" name="Responsable técnico"/>
    <tableColumn id="26" name="Estado del requisito"/>
    <tableColumn id="27" name="Estado de implementación"/>
    <tableColumn id="28" name="Estado de prueba"/>
    <tableColumn id="29" name="Estado de evidencia"/>
    <tableColumn id="30" name="Estado de cobertura"/>
    <tableColumn id="31" name="Observacion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70" min="1" max="1"/>
    <col width="25" customWidth="1" style="70" min="2" max="2"/>
    <col width="15" customWidth="1" style="70" min="3" max="3"/>
    <col width="18" customWidth="1" style="70" min="4" max="4"/>
    <col width="15" customWidth="1" style="70" min="5" max="6"/>
    <col width="12" customWidth="1" style="70" min="7" max="8"/>
  </cols>
  <sheetData>
    <row r="1" ht="15" customHeight="1" s="71">
      <c r="A1" s="72" t="inlineStr">
        <is>
          <t>MATRIZ MAESTRA DE TRAZABILIDAD — SIGTM</t>
        </is>
      </c>
      <c r="B1" s="73" t="n"/>
      <c r="C1" s="73" t="n"/>
      <c r="D1" s="73" t="n"/>
      <c r="E1" s="73" t="n"/>
      <c r="F1" s="73" t="n"/>
      <c r="G1" s="73" t="n"/>
      <c r="H1" s="74" t="n"/>
    </row>
    <row r="2" ht="43.25" customHeight="1" s="71">
      <c r="A2" s="75" t="n"/>
      <c r="H2" s="76" t="n"/>
    </row>
    <row r="3" ht="15" customHeight="1" s="71">
      <c r="A3" s="77" t="n"/>
      <c r="B3" s="78" t="n"/>
      <c r="C3" s="78" t="n"/>
      <c r="D3" s="78" t="n"/>
      <c r="E3" s="78" t="n"/>
      <c r="F3" s="78" t="n"/>
      <c r="G3" s="78" t="n"/>
      <c r="H3" s="79" t="n"/>
    </row>
    <row r="4" ht="15" customHeight="1" s="71">
      <c r="A4" s="80" t="inlineStr">
        <is>
          <t>Propósito</t>
        </is>
      </c>
      <c r="H4" s="76" t="n"/>
    </row>
    <row r="5" ht="15" customHeight="1" s="71">
      <c r="A5" s="81" t="inlineStr">
        <is>
          <t>Esta matriz permite demostrar que cada requisito de SIGTM nace de un problema real, se convierte en una historia, se construye en un componente concreto del codigo, se verifica con una prueba y deja una evidencia. Una fila sin evidencia es un requisito que nadie comprobo, por mucho que el codigo exista.</t>
        </is>
      </c>
      <c r="H5" s="76" t="n"/>
    </row>
    <row r="6" ht="15" customHeight="1" s="71">
      <c r="A6" s="75" t="n"/>
      <c r="H6" s="76" t="n"/>
    </row>
    <row r="7" ht="15" customHeight="1" s="71">
      <c r="A7" s="75" t="n"/>
      <c r="H7" s="76" t="n"/>
    </row>
    <row r="8" ht="15" customHeight="1" s="71">
      <c r="A8" s="77" t="n"/>
      <c r="B8" s="78" t="n"/>
      <c r="C8" s="78" t="n"/>
      <c r="D8" s="78" t="n"/>
      <c r="E8" s="78" t="n"/>
      <c r="F8" s="78" t="n"/>
      <c r="G8" s="78" t="n"/>
      <c r="H8" s="79" t="n"/>
    </row>
    <row r="9" ht="15" customHeight="1" s="71">
      <c r="A9" s="82" t="inlineStr">
        <is>
          <t>Cadena de trazabilidad esperada</t>
        </is>
      </c>
      <c r="H9" s="76" t="n"/>
    </row>
    <row r="10" ht="15" customHeight="1" s="71">
      <c r="A10" s="83" t="inlineStr">
        <is>
          <t>Problema → Objetivo → Stakeholder → Alcance → Requisito → Regla de negocio → Historia de usuario → Pantalla → Componente → Endpoint → Caso de prueba → Evidencia</t>
        </is>
      </c>
      <c r="H10" s="76" t="n"/>
    </row>
    <row r="11" ht="15" customHeight="1" s="71">
      <c r="A11" s="75" t="n"/>
      <c r="H11" s="76" t="n"/>
    </row>
    <row r="12" ht="15" customHeight="1" s="71">
      <c r="A12" s="77" t="n"/>
      <c r="B12" s="78" t="n"/>
      <c r="C12" s="78" t="n"/>
      <c r="D12" s="78" t="n"/>
      <c r="E12" s="78" t="n"/>
      <c r="F12" s="78" t="n"/>
      <c r="G12" s="78" t="n"/>
      <c r="H12" s="79" t="n"/>
    </row>
    <row r="13" ht="15" customHeight="1" s="71">
      <c r="A13" s="84" t="inlineStr">
        <is>
          <t>Regla</t>
        </is>
      </c>
      <c r="B13" s="85" t="inlineStr">
        <is>
          <t>Descripción</t>
        </is>
      </c>
      <c r="H13" s="76" t="n"/>
    </row>
    <row r="14" ht="16.4" customHeight="1" s="71">
      <c r="A14" s="86" t="inlineStr">
        <is>
          <t>1</t>
        </is>
      </c>
      <c r="B14" s="87" t="inlineStr">
        <is>
          <t>Cada fila representa una unidad trazable: normalmente un requisito funcional o no funcional.</t>
        </is>
      </c>
      <c r="H14" s="76" t="n"/>
    </row>
    <row r="15" ht="16.4" customHeight="1" s="71">
      <c r="A15" s="86" t="inlineStr">
        <is>
          <t>2</t>
        </is>
      </c>
      <c r="B15" s="87" t="inlineStr">
        <is>
          <t>No se deben inventar relaciones. Use únicamente identificadores aprobados en los documentos oficiales.</t>
        </is>
      </c>
      <c r="H15" s="76" t="n"/>
    </row>
    <row r="16" ht="31.3" customHeight="1" s="71">
      <c r="A16" s="86" t="inlineStr">
        <is>
          <t>3</t>
        </is>
      </c>
      <c r="B16" s="87" t="inlineStr">
        <is>
          <t>Un requisito puede ocupar varias filas cuando se relaciona con varias historias, pantallas, componentes o pruebas.</t>
        </is>
      </c>
      <c r="H16" s="76" t="n"/>
    </row>
    <row r="17" ht="16.4" customHeight="1" s="71">
      <c r="A17" s="86" t="inlineStr">
        <is>
          <t>4</t>
        </is>
      </c>
      <c r="B17" s="87" t="inlineStr">
        <is>
          <t>Los campos con lista desplegable deben seleccionarse desde los catálogos definidos.</t>
        </is>
      </c>
      <c r="H17" s="76" t="n"/>
    </row>
    <row r="18" ht="16.4" customHeight="1" s="71">
      <c r="A18" s="86" t="inlineStr">
        <is>
          <t>5</t>
        </is>
      </c>
      <c r="B18" s="87" t="inlineStr">
        <is>
          <t>La columna Estado de cobertura se calcula según la existencia de implementación, prueba y evidencia.</t>
        </is>
      </c>
      <c r="H18" s="76" t="n"/>
    </row>
    <row r="19" ht="16.4" customHeight="1" s="71">
      <c r="A19" s="86" t="inlineStr">
        <is>
          <t>6</t>
        </is>
      </c>
      <c r="B19" s="87" t="inlineStr">
        <is>
          <t>Los requisitos sin prueba, evidencia o responsable deben considerarse incompletos.</t>
        </is>
      </c>
      <c r="H19" s="76" t="n"/>
    </row>
    <row r="20" ht="16.4" customHeight="1" s="71">
      <c r="A20" s="86" t="inlineStr">
        <is>
          <t>7</t>
        </is>
      </c>
      <c r="B20" s="87" t="inlineStr">
        <is>
          <t>La matriz debe revisarse antes de cada entrega, cambio de versión y sustentación.</t>
        </is>
      </c>
      <c r="H20" s="76" t="n"/>
    </row>
    <row r="21" ht="15" customHeight="1" s="71">
      <c r="A21" s="77" t="n"/>
      <c r="B21" s="78" t="n"/>
      <c r="C21" s="78" t="n"/>
      <c r="D21" s="78" t="n"/>
      <c r="E21" s="78" t="n"/>
      <c r="F21" s="78" t="n"/>
      <c r="G21" s="78" t="n"/>
      <c r="H21" s="79" t="n"/>
    </row>
    <row r="22" ht="15" customHeight="1" s="71">
      <c r="A22" s="88" t="inlineStr">
        <is>
          <t>Convenciones de identificación</t>
        </is>
      </c>
      <c r="H22" s="76" t="n"/>
    </row>
    <row r="23" ht="15" customHeight="1" s="71">
      <c r="A23" s="89" t="inlineStr">
        <is>
          <t>Elemento</t>
        </is>
      </c>
      <c r="B23" s="90" t="inlineStr">
        <is>
          <t>Prefijo</t>
        </is>
      </c>
      <c r="C23" s="90" t="inlineStr">
        <is>
          <t>Ejemplo</t>
        </is>
      </c>
      <c r="D23" s="90" t="inlineStr">
        <is>
          <t>Elemento</t>
        </is>
      </c>
      <c r="E23" s="90" t="inlineStr">
        <is>
          <t>Prefijo</t>
        </is>
      </c>
      <c r="F23" s="90" t="inlineStr">
        <is>
          <t>Ejemplo</t>
        </is>
      </c>
      <c r="G23" s="90" t="n"/>
      <c r="H23" s="91" t="n"/>
    </row>
    <row r="24" ht="16.4" customHeight="1" s="71">
      <c r="A24" s="92" t="inlineStr">
        <is>
          <t>Problema</t>
        </is>
      </c>
      <c r="B24" s="93" t="inlineStr">
        <is>
          <t>PRO</t>
        </is>
      </c>
      <c r="C24" s="93" t="inlineStr">
        <is>
          <t>PRO-01</t>
        </is>
      </c>
      <c r="D24" s="93" t="inlineStr">
        <is>
          <t>Objetivo</t>
        </is>
      </c>
      <c r="E24" s="93" t="inlineStr">
        <is>
          <t>OBJ</t>
        </is>
      </c>
      <c r="F24" s="93" t="inlineStr">
        <is>
          <t>OBJ-01</t>
        </is>
      </c>
      <c r="G24" s="78" t="n"/>
      <c r="H24" s="79" t="n"/>
    </row>
    <row r="25" ht="31.3" customHeight="1" s="71">
      <c r="A25" s="92" t="inlineStr">
        <is>
          <t>Stakeholder</t>
        </is>
      </c>
      <c r="B25" s="93" t="inlineStr">
        <is>
          <t>STK</t>
        </is>
      </c>
      <c r="C25" s="93" t="inlineStr">
        <is>
          <t>STK-01</t>
        </is>
      </c>
      <c r="D25" s="93" t="inlineStr">
        <is>
          <t>Requisito funcional</t>
        </is>
      </c>
      <c r="E25" s="93" t="inlineStr">
        <is>
          <t>RF</t>
        </is>
      </c>
      <c r="F25" s="93" t="inlineStr">
        <is>
          <t>RF-01</t>
        </is>
      </c>
      <c r="G25" s="78" t="n"/>
      <c r="H25" s="79" t="n"/>
    </row>
    <row r="26" ht="31.3" customHeight="1" s="71">
      <c r="A26" s="92" t="inlineStr">
        <is>
          <t>Requisito no funcional</t>
        </is>
      </c>
      <c r="B26" s="93" t="inlineStr">
        <is>
          <t>RNF</t>
        </is>
      </c>
      <c r="C26" s="93" t="inlineStr">
        <is>
          <t>RNF-01</t>
        </is>
      </c>
      <c r="D26" s="93" t="inlineStr">
        <is>
          <t>Regla de negocio</t>
        </is>
      </c>
      <c r="E26" s="93" t="inlineStr">
        <is>
          <t>RN</t>
        </is>
      </c>
      <c r="F26" s="93" t="inlineStr">
        <is>
          <t>RN-01</t>
        </is>
      </c>
      <c r="G26" s="78" t="n"/>
      <c r="H26" s="79" t="n"/>
    </row>
    <row r="27" ht="31.3" customHeight="1" s="71">
      <c r="A27" s="92" t="inlineStr">
        <is>
          <t>Historia de usuario</t>
        </is>
      </c>
      <c r="B27" s="93" t="inlineStr">
        <is>
          <t>HU</t>
        </is>
      </c>
      <c r="C27" s="93" t="inlineStr">
        <is>
          <t>HU-01</t>
        </is>
      </c>
      <c r="D27" s="93" t="inlineStr">
        <is>
          <t>Caso de uso</t>
        </is>
      </c>
      <c r="E27" s="93" t="inlineStr">
        <is>
          <t>CU</t>
        </is>
      </c>
      <c r="F27" s="93" t="inlineStr">
        <is>
          <t>CU-01</t>
        </is>
      </c>
      <c r="G27" s="78" t="n"/>
      <c r="H27" s="79" t="n"/>
    </row>
    <row r="28" ht="31.3" customHeight="1" s="71">
      <c r="A28" s="92" t="inlineStr">
        <is>
          <t>Pantalla</t>
        </is>
      </c>
      <c r="B28" s="93" t="inlineStr">
        <is>
          <t>UI</t>
        </is>
      </c>
      <c r="C28" s="93" t="inlineStr">
        <is>
          <t>UI-01</t>
        </is>
      </c>
      <c r="D28" s="93" t="inlineStr">
        <is>
          <t>Componente técnico</t>
        </is>
      </c>
      <c r="E28" s="93" t="inlineStr">
        <is>
          <t>CMP</t>
        </is>
      </c>
      <c r="F28" s="93" t="inlineStr">
        <is>
          <t>CMP-01</t>
        </is>
      </c>
      <c r="G28" s="78" t="n"/>
      <c r="H28" s="79" t="n"/>
    </row>
    <row r="29" ht="31.3" customHeight="1" s="71">
      <c r="A29" s="92" t="inlineStr">
        <is>
          <t>Entidad / colección</t>
        </is>
      </c>
      <c r="B29" s="93" t="inlineStr">
        <is>
          <t>DAT</t>
        </is>
      </c>
      <c r="C29" s="93" t="inlineStr">
        <is>
          <t>DAT-01</t>
        </is>
      </c>
      <c r="D29" s="93" t="inlineStr">
        <is>
          <t>Endpoint</t>
        </is>
      </c>
      <c r="E29" s="93" t="inlineStr">
        <is>
          <t>API</t>
        </is>
      </c>
      <c r="F29" s="93" t="inlineStr">
        <is>
          <t>API-01</t>
        </is>
      </c>
      <c r="G29" s="78" t="n"/>
      <c r="H29" s="79" t="n"/>
    </row>
    <row r="30" ht="16.4" customHeight="1" s="71">
      <c r="A30" s="94" t="inlineStr">
        <is>
          <t>Caso de prueba</t>
        </is>
      </c>
      <c r="B30" s="95" t="inlineStr">
        <is>
          <t>CP</t>
        </is>
      </c>
      <c r="C30" s="95" t="inlineStr">
        <is>
          <t>CP-01</t>
        </is>
      </c>
      <c r="D30" s="95" t="inlineStr">
        <is>
          <t>Evidencia</t>
        </is>
      </c>
      <c r="E30" s="95" t="inlineStr">
        <is>
          <t>EV</t>
        </is>
      </c>
      <c r="F30" s="95" t="inlineStr">
        <is>
          <t>EV-01</t>
        </is>
      </c>
      <c r="G30" s="96" t="n"/>
      <c r="H30" s="97" t="n"/>
    </row>
  </sheetData>
  <mergeCells count="14">
    <mergeCell ref="A9:H9"/>
    <mergeCell ref="A4:H4"/>
    <mergeCell ref="B14:H14"/>
    <mergeCell ref="B17:H17"/>
    <mergeCell ref="B18:H18"/>
    <mergeCell ref="B13:H13"/>
    <mergeCell ref="A5:H7"/>
    <mergeCell ref="A10:H11"/>
    <mergeCell ref="B16:H16"/>
    <mergeCell ref="B15:H15"/>
    <mergeCell ref="A1:H2"/>
    <mergeCell ref="B19:H19"/>
    <mergeCell ref="B20:H20"/>
    <mergeCell ref="A22:H2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E88"/>
  <sheetViews>
    <sheetView showFormulas="0" showGridLines="1" showRowColHeaders="1" showZeros="1" rightToLeft="0" tabSelected="0" showOutlineSymbols="1" defaultGridColor="1" view="normal" topLeftCell="S1" colorId="64" zoomScale="100" zoomScaleNormal="100" zoomScalePageLayoutView="100" workbookViewId="0">
      <selection pane="topLeft" activeCell="AE14" activeCellId="0" sqref="AE14"/>
    </sheetView>
  </sheetViews>
  <sheetFormatPr baseColWidth="8" defaultColWidth="8.6796875" defaultRowHeight="15" zeroHeight="0" outlineLevelRow="0"/>
  <cols>
    <col width="13" customWidth="1" style="70" min="1" max="1"/>
    <col width="9" customWidth="1" style="70" min="2" max="2"/>
    <col width="18" customWidth="1" style="70" min="3" max="3"/>
    <col width="15" customWidth="1" style="70" min="4" max="4"/>
    <col width="11" customWidth="1" style="70" min="5" max="7"/>
    <col width="12" customWidth="1" style="70" min="8" max="8"/>
    <col width="15" customWidth="1" style="70" min="9" max="9"/>
    <col width="12" customWidth="1" style="70" min="10" max="10"/>
    <col width="34" customWidth="1" style="70" min="11" max="11"/>
    <col width="14" customWidth="1" style="70" min="12" max="13"/>
    <col width="13" customWidth="1" style="70" min="14" max="14"/>
    <col width="15" customWidth="1" style="70" min="15" max="15"/>
    <col width="18" customWidth="1" style="70" min="16" max="16"/>
    <col width="16" customWidth="1" style="70" min="17" max="17"/>
    <col width="18" customWidth="1" style="70" min="18" max="18"/>
    <col width="14" customWidth="1" style="70" min="19" max="21"/>
    <col width="12" customWidth="1" style="70" min="22" max="22"/>
    <col width="30" customWidth="1" style="70" min="23" max="23"/>
    <col width="22" customWidth="1" style="70" min="24" max="25"/>
    <col width="15" customWidth="1" style="70" min="26" max="26"/>
    <col width="17" customWidth="1" style="70" min="27" max="27"/>
    <col width="15" customWidth="1" style="70" min="28" max="29"/>
    <col width="16" customWidth="1" style="70" min="30" max="30"/>
    <col width="30" customWidth="1" style="70" min="31" max="31"/>
  </cols>
  <sheetData>
    <row r="1" ht="15" customHeight="1" s="71">
      <c r="A1" s="98" t="inlineStr">
        <is>
          <t>MATRIZ MAESTRA DE TRAZABILIDAD — SIGTM</t>
        </is>
      </c>
    </row>
    <row r="2" ht="15" customHeight="1" s="71"/>
    <row r="3" ht="46" customHeight="1" s="71">
      <c r="A3" s="99" t="inlineStr">
        <is>
          <t>Código de fila</t>
        </is>
      </c>
      <c r="B3" s="100" t="inlineStr">
        <is>
          <t>Versión</t>
        </is>
      </c>
      <c r="C3" s="100" t="inlineStr">
        <is>
          <t>Módulo</t>
        </is>
      </c>
      <c r="D3" s="100" t="inlineStr">
        <is>
          <t>Tipo de requisito</t>
        </is>
      </c>
      <c r="E3" s="100" t="inlineStr">
        <is>
          <t>Prioridad</t>
        </is>
      </c>
      <c r="F3" s="100" t="inlineStr">
        <is>
          <t>Problema</t>
        </is>
      </c>
      <c r="G3" s="100" t="inlineStr">
        <is>
          <t>Objetivo</t>
        </is>
      </c>
      <c r="H3" s="100" t="inlineStr">
        <is>
          <t>Stakeholder</t>
        </is>
      </c>
      <c r="I3" s="100" t="inlineStr">
        <is>
          <t>Alcance / Entregable</t>
        </is>
      </c>
      <c r="J3" s="100" t="inlineStr">
        <is>
          <t>Requisito</t>
        </is>
      </c>
      <c r="K3" s="100" t="inlineStr">
        <is>
          <t>Título del requisito</t>
        </is>
      </c>
      <c r="L3" s="100" t="inlineStr">
        <is>
          <t>Regla de negocio</t>
        </is>
      </c>
      <c r="M3" s="100" t="inlineStr">
        <is>
          <t>Historia de usuario</t>
        </is>
      </c>
      <c r="N3" s="100" t="inlineStr">
        <is>
          <t>Caso de uso</t>
        </is>
      </c>
      <c r="O3" s="100" t="inlineStr">
        <is>
          <t>Pantalla / Flujo UX</t>
        </is>
      </c>
      <c r="P3" s="100" t="inlineStr">
        <is>
          <t>Componente técnico</t>
        </is>
      </c>
      <c r="Q3" s="100" t="inlineStr">
        <is>
          <t>Entidad / Colección</t>
        </is>
      </c>
      <c r="R3" s="100" t="inlineStr">
        <is>
          <t>Endpoint / Integración</t>
        </is>
      </c>
      <c r="S3" s="100" t="inlineStr">
        <is>
          <t>Caso de prueba</t>
        </is>
      </c>
      <c r="T3" s="100" t="inlineStr">
        <is>
          <t>Tipo de prueba</t>
        </is>
      </c>
      <c r="U3" s="100" t="inlineStr">
        <is>
          <t>Resultado de prueba</t>
        </is>
      </c>
      <c r="V3" s="100" t="inlineStr">
        <is>
          <t>Evidencia</t>
        </is>
      </c>
      <c r="W3" s="100" t="inlineStr">
        <is>
          <t>Ubicación de evidencia</t>
        </is>
      </c>
      <c r="X3" s="100" t="inlineStr">
        <is>
          <t>Responsable funcional</t>
        </is>
      </c>
      <c r="Y3" s="100" t="inlineStr">
        <is>
          <t>Responsable técnico</t>
        </is>
      </c>
      <c r="Z3" s="100" t="inlineStr">
        <is>
          <t>Estado del requisito</t>
        </is>
      </c>
      <c r="AA3" s="100" t="inlineStr">
        <is>
          <t>Estado de implementación</t>
        </is>
      </c>
      <c r="AB3" s="100" t="inlineStr">
        <is>
          <t>Estado de prueba</t>
        </is>
      </c>
      <c r="AC3" s="100" t="inlineStr">
        <is>
          <t>Estado de evidencia</t>
        </is>
      </c>
      <c r="AD3" s="100" t="inlineStr">
        <is>
          <t>Estado de cobertura</t>
        </is>
      </c>
      <c r="AE3" s="101" t="inlineStr">
        <is>
          <t>Observaciones</t>
        </is>
      </c>
    </row>
    <row r="4" ht="26.85" customHeight="1" s="71">
      <c r="A4" s="102" t="inlineStr">
        <is>
          <t>TRZ-001</t>
        </is>
      </c>
      <c r="B4" s="103" t="inlineStr">
        <is>
          <t>1.5</t>
        </is>
      </c>
      <c r="C4" s="103" t="inlineStr">
        <is>
          <t>Autenticación e identidad</t>
        </is>
      </c>
      <c r="D4" s="103" t="inlineStr">
        <is>
          <t>RF</t>
        </is>
      </c>
      <c r="E4" s="103" t="inlineStr">
        <is>
          <t>Alta</t>
        </is>
      </c>
      <c r="F4" s="103" t="inlineStr">
        <is>
          <t>PRO-01</t>
        </is>
      </c>
      <c r="G4" s="103" t="inlineStr">
        <is>
          <t>OBJ-04</t>
        </is>
      </c>
      <c r="H4" s="103" t="inlineStr">
        <is>
          <t>STK-02</t>
        </is>
      </c>
      <c r="I4" s="103" t="inlineStr">
        <is>
          <t>ALC-01</t>
        </is>
      </c>
      <c r="J4" s="103" t="inlineStr">
        <is>
          <t>RF-001</t>
        </is>
      </c>
      <c r="K4" s="103" t="inlineStr">
        <is>
          <t>Registro público de cliente</t>
        </is>
      </c>
      <c r="L4" s="103" t="inlineStr">
        <is>
          <t>RN-001, RN-002</t>
        </is>
      </c>
      <c r="M4" s="103" t="inlineStr">
        <is>
          <t>HU-001</t>
        </is>
      </c>
      <c r="N4" s="103" t="inlineStr">
        <is>
          <t>CU-05</t>
        </is>
      </c>
      <c r="O4" s="103" t="inlineStr">
        <is>
          <t>UI-001</t>
        </is>
      </c>
      <c r="P4" s="103" t="inlineStr">
        <is>
          <t>auth.controller, auth.service, recuperacion.service</t>
        </is>
      </c>
      <c r="Q4" s="103" t="inlineStr">
        <is>
          <t>usuarios, tokens_seguridad</t>
        </is>
      </c>
      <c r="R4" s="103" t="inlineStr">
        <is>
          <t>POST /api/auth/registro</t>
        </is>
      </c>
      <c r="S4" s="103" t="inlineStr">
        <is>
          <t>CP-001</t>
        </is>
      </c>
      <c r="T4" s="103" t="inlineStr">
        <is>
          <t>Manual</t>
        </is>
      </c>
      <c r="U4" s="103" t="inlineStr">
        <is>
          <t>Aprobado</t>
        </is>
      </c>
      <c r="V4" s="103" t="inlineStr">
        <is>
          <t>EV-001</t>
        </is>
      </c>
      <c r="W4" s="103" t="inlineStr">
        <is>
          <t>Plan de Calidad, seccion de clases de prueba</t>
        </is>
      </c>
      <c r="X4" s="103" t="inlineStr">
        <is>
          <t>Juan Carlos Quintero Romero</t>
        </is>
      </c>
      <c r="Y4" s="103" t="inlineStr">
        <is>
          <t>Harryson [apellidos por completar]</t>
        </is>
      </c>
      <c r="Z4" s="103" t="inlineStr">
        <is>
          <t>Aprobado</t>
        </is>
      </c>
      <c r="AA4" s="103" t="inlineStr">
        <is>
          <t>Implementado</t>
        </is>
      </c>
      <c r="AB4" s="103" t="inlineStr">
        <is>
          <t>Aprobado</t>
        </is>
      </c>
      <c r="AC4" s="103" t="inlineStr">
        <is>
          <t>Disponible</t>
        </is>
      </c>
      <c r="AD4" s="103">
        <f>IF(AND(AA4="Implementado",AB4="Aprobado",AC4="Disponible"),"Completa",IF(COUNTA(AA4:AC4)=0,"Sin iniciar","Parcial"))</f>
        <v/>
      </c>
      <c r="AE4" s="104" t="inlineStr">
        <is>
          <t>Verificado contra el codigo</t>
        </is>
      </c>
    </row>
    <row r="5" ht="26.85" customHeight="1" s="71">
      <c r="A5" s="102" t="inlineStr">
        <is>
          <t>TRZ-002</t>
        </is>
      </c>
      <c r="B5" s="103" t="inlineStr">
        <is>
          <t>1.5</t>
        </is>
      </c>
      <c r="C5" s="103" t="inlineStr">
        <is>
          <t>Autenticación e identidad</t>
        </is>
      </c>
      <c r="D5" s="103" t="inlineStr">
        <is>
          <t>RF</t>
        </is>
      </c>
      <c r="E5" s="103" t="inlineStr">
        <is>
          <t>Alta</t>
        </is>
      </c>
      <c r="F5" s="103" t="inlineStr">
        <is>
          <t>PRO-01</t>
        </is>
      </c>
      <c r="G5" s="103" t="inlineStr">
        <is>
          <t>OBJ-04</t>
        </is>
      </c>
      <c r="H5" s="103" t="inlineStr">
        <is>
          <t>STK-02</t>
        </is>
      </c>
      <c r="I5" s="103" t="inlineStr">
        <is>
          <t>ALC-01</t>
        </is>
      </c>
      <c r="J5" s="103" t="inlineStr">
        <is>
          <t>RF-002</t>
        </is>
      </c>
      <c r="K5" s="103" t="inlineStr">
        <is>
          <t>Inicio de sesión</t>
        </is>
      </c>
      <c r="L5" s="103" t="inlineStr">
        <is>
          <t>RN-003</t>
        </is>
      </c>
      <c r="M5" s="103" t="inlineStr">
        <is>
          <t>HU-002</t>
        </is>
      </c>
      <c r="N5" s="103" t="inlineStr">
        <is>
          <t>CU-05</t>
        </is>
      </c>
      <c r="O5" s="103" t="inlineStr">
        <is>
          <t>UI-001</t>
        </is>
      </c>
      <c r="P5" s="103" t="inlineStr">
        <is>
          <t>auth.controller, auth.service, recuperacion.service</t>
        </is>
      </c>
      <c r="Q5" s="103" t="inlineStr">
        <is>
          <t>usuarios, tokens_seguridad</t>
        </is>
      </c>
      <c r="R5" s="103" t="inlineStr">
        <is>
          <t>POST /api/auth/login</t>
        </is>
      </c>
      <c r="S5" s="103" t="inlineStr">
        <is>
          <t>CP-002</t>
        </is>
      </c>
      <c r="T5" s="103" t="inlineStr">
        <is>
          <t>Manual</t>
        </is>
      </c>
      <c r="U5" s="103" t="inlineStr">
        <is>
          <t>Aprobado</t>
        </is>
      </c>
      <c r="V5" s="103" t="inlineStr">
        <is>
          <t>EV-002</t>
        </is>
      </c>
      <c r="W5" s="103" t="inlineStr">
        <is>
          <t>Plan de Calidad, seccion de clases de prueba</t>
        </is>
      </c>
      <c r="X5" s="103" t="inlineStr">
        <is>
          <t>Juan Carlos Quintero Romero</t>
        </is>
      </c>
      <c r="Y5" s="103" t="inlineStr">
        <is>
          <t>Harryson [apellidos por completar]</t>
        </is>
      </c>
      <c r="Z5" s="103" t="inlineStr">
        <is>
          <t>Aprobado</t>
        </is>
      </c>
      <c r="AA5" s="103" t="inlineStr">
        <is>
          <t>Implementado</t>
        </is>
      </c>
      <c r="AB5" s="103" t="inlineStr">
        <is>
          <t>Aprobado</t>
        </is>
      </c>
      <c r="AC5" s="103" t="inlineStr">
        <is>
          <t>Disponible</t>
        </is>
      </c>
      <c r="AD5" s="103">
        <f>IF(AND(AA5="Implementado",AB5="Aprobado",AC5="Disponible"),"Completa",IF(COUNTA(AA5:AC5)=0,"Sin iniciar","Parcial"))</f>
        <v/>
      </c>
      <c r="AE5" s="104" t="inlineStr">
        <is>
          <t>Verificado contra el codigo</t>
        </is>
      </c>
    </row>
    <row r="6" ht="15" customHeight="1" s="71">
      <c r="A6" s="102" t="inlineStr">
        <is>
          <t>TRZ-003</t>
        </is>
      </c>
      <c r="B6" s="103" t="inlineStr">
        <is>
          <t>1.5</t>
        </is>
      </c>
      <c r="C6" s="103" t="inlineStr">
        <is>
          <t>Autenticación e identidad</t>
        </is>
      </c>
      <c r="D6" s="103" t="inlineStr">
        <is>
          <t>RF</t>
        </is>
      </c>
      <c r="E6" s="103" t="inlineStr">
        <is>
          <t>Alta</t>
        </is>
      </c>
      <c r="F6" s="103" t="inlineStr">
        <is>
          <t>PRO-01</t>
        </is>
      </c>
      <c r="G6" s="103" t="inlineStr">
        <is>
          <t>OBJ-04</t>
        </is>
      </c>
      <c r="H6" s="103" t="inlineStr">
        <is>
          <t>STK-02</t>
        </is>
      </c>
      <c r="I6" s="103" t="inlineStr">
        <is>
          <t>ALC-01</t>
        </is>
      </c>
      <c r="J6" s="103" t="inlineStr">
        <is>
          <t>RF-003</t>
        </is>
      </c>
      <c r="K6" s="103" t="inlineStr">
        <is>
          <t>Verificación anti-automatización</t>
        </is>
      </c>
      <c r="L6" s="103" t="inlineStr">
        <is>
          <t>—</t>
        </is>
      </c>
      <c r="M6" s="103" t="inlineStr">
        <is>
          <t>HU-003</t>
        </is>
      </c>
      <c r="N6" s="103" t="inlineStr">
        <is>
          <t>CU-05</t>
        </is>
      </c>
      <c r="O6" s="103" t="inlineStr">
        <is>
          <t>UI-001</t>
        </is>
      </c>
      <c r="P6" s="103" t="inlineStr">
        <is>
          <t>auth.controller, auth.service, recuperacion.service</t>
        </is>
      </c>
      <c r="Q6" s="103" t="inlineStr">
        <is>
          <t>usuarios, tokens_seguridad</t>
        </is>
      </c>
      <c r="R6" s="103" t="inlineStr">
        <is>
          <t>—</t>
        </is>
      </c>
      <c r="S6" s="103" t="inlineStr">
        <is>
          <t>CP-003</t>
        </is>
      </c>
      <c r="T6" s="103" t="inlineStr">
        <is>
          <t>Manual</t>
        </is>
      </c>
      <c r="U6" s="103" t="inlineStr">
        <is>
          <t>Pendiente</t>
        </is>
      </c>
      <c r="V6" s="103" t="inlineStr">
        <is>
          <t>EV-003</t>
        </is>
      </c>
      <c r="W6" s="103" t="inlineStr">
        <is>
          <t>Plan de Calidad, seccion de clases de prueba</t>
        </is>
      </c>
      <c r="X6" s="103" t="inlineStr">
        <is>
          <t>Juan Carlos Quintero Romero</t>
        </is>
      </c>
      <c r="Y6" s="103" t="inlineStr">
        <is>
          <t>Harryson [apellidos por completar]</t>
        </is>
      </c>
      <c r="Z6" s="103" t="inlineStr">
        <is>
          <t>Aprobado</t>
        </is>
      </c>
      <c r="AA6" s="103" t="inlineStr">
        <is>
          <t>En desarrollo</t>
        </is>
      </c>
      <c r="AB6" s="103" t="inlineStr">
        <is>
          <t>Pendiente</t>
        </is>
      </c>
      <c r="AC6" s="103" t="inlineStr">
        <is>
          <t>Incompleta</t>
        </is>
      </c>
      <c r="AD6" s="103">
        <f>IF(AND(AA6="Implementado",AB6="Aprobado",AC6="Disponible"),"Completa",IF(COUNTA(AA6:AC6)=0,"Sin iniciar","Parcial"))</f>
        <v/>
      </c>
      <c r="AE6" s="104" t="inlineStr">
        <is>
          <t>Pendiente de configuracion</t>
        </is>
      </c>
    </row>
    <row r="7" ht="15" customHeight="1" s="71">
      <c r="A7" s="102" t="inlineStr">
        <is>
          <t>TRZ-004</t>
        </is>
      </c>
      <c r="B7" s="103" t="inlineStr">
        <is>
          <t>1.5</t>
        </is>
      </c>
      <c r="C7" s="103" t="inlineStr">
        <is>
          <t>Autenticación e identidad</t>
        </is>
      </c>
      <c r="D7" s="103" t="inlineStr">
        <is>
          <t>RF</t>
        </is>
      </c>
      <c r="E7" s="103" t="inlineStr">
        <is>
          <t>Media</t>
        </is>
      </c>
      <c r="F7" s="103" t="inlineStr">
        <is>
          <t>PRO-01</t>
        </is>
      </c>
      <c r="G7" s="103" t="inlineStr">
        <is>
          <t>OBJ-04</t>
        </is>
      </c>
      <c r="H7" s="103" t="inlineStr">
        <is>
          <t>STK-02</t>
        </is>
      </c>
      <c r="I7" s="103" t="inlineStr">
        <is>
          <t>ALC-01</t>
        </is>
      </c>
      <c r="J7" s="103" t="inlineStr">
        <is>
          <t>RF-004</t>
        </is>
      </c>
      <c r="K7" s="103" t="inlineStr">
        <is>
          <t>Consulta del perfil autenticado</t>
        </is>
      </c>
      <c r="L7" s="103" t="inlineStr">
        <is>
          <t>—</t>
        </is>
      </c>
      <c r="M7" s="103" t="inlineStr">
        <is>
          <t>HU-004</t>
        </is>
      </c>
      <c r="N7" s="103" t="inlineStr">
        <is>
          <t>CU-05</t>
        </is>
      </c>
      <c r="O7" s="103" t="inlineStr">
        <is>
          <t>UI-001</t>
        </is>
      </c>
      <c r="P7" s="103" t="inlineStr">
        <is>
          <t>auth.controller, auth.service, recuperacion.service</t>
        </is>
      </c>
      <c r="Q7" s="103" t="inlineStr">
        <is>
          <t>usuarios, tokens_seguridad</t>
        </is>
      </c>
      <c r="R7" s="103" t="inlineStr">
        <is>
          <t>GET /api/auth/perfil</t>
        </is>
      </c>
      <c r="S7" s="103" t="inlineStr">
        <is>
          <t>CP-004</t>
        </is>
      </c>
      <c r="T7" s="103" t="inlineStr">
        <is>
          <t>Manual</t>
        </is>
      </c>
      <c r="U7" s="103" t="inlineStr">
        <is>
          <t>Aprobado</t>
        </is>
      </c>
      <c r="V7" s="103" t="inlineStr">
        <is>
          <t>EV-004</t>
        </is>
      </c>
      <c r="W7" s="103" t="inlineStr">
        <is>
          <t>Plan de Calidad, seccion de clases de prueba</t>
        </is>
      </c>
      <c r="X7" s="103" t="inlineStr">
        <is>
          <t>Juan Carlos Quintero Romero</t>
        </is>
      </c>
      <c r="Y7" s="103" t="inlineStr">
        <is>
          <t>Harryson [apellidos por completar]</t>
        </is>
      </c>
      <c r="Z7" s="103" t="inlineStr">
        <is>
          <t>Aprobado</t>
        </is>
      </c>
      <c r="AA7" s="103" t="inlineStr">
        <is>
          <t>Implementado</t>
        </is>
      </c>
      <c r="AB7" s="103" t="inlineStr">
        <is>
          <t>Aprobado</t>
        </is>
      </c>
      <c r="AC7" s="103" t="inlineStr">
        <is>
          <t>Disponible</t>
        </is>
      </c>
      <c r="AD7" s="103">
        <f>IF(AND(AA7="Implementado",AB7="Aprobado",AC7="Disponible"),"Completa",IF(COUNTA(AA7:AC7)=0,"Sin iniciar","Parcial"))</f>
        <v/>
      </c>
      <c r="AE7" s="104" t="inlineStr">
        <is>
          <t>Verificado contra el codigo</t>
        </is>
      </c>
    </row>
    <row r="8" ht="15" customHeight="1" s="71">
      <c r="A8" s="102" t="inlineStr">
        <is>
          <t>TRZ-005</t>
        </is>
      </c>
      <c r="B8" s="103" t="inlineStr">
        <is>
          <t>1.5</t>
        </is>
      </c>
      <c r="C8" s="103" t="inlineStr">
        <is>
          <t>Autenticación e identidad</t>
        </is>
      </c>
      <c r="D8" s="103" t="inlineStr">
        <is>
          <t>RF</t>
        </is>
      </c>
      <c r="E8" s="103" t="inlineStr">
        <is>
          <t>Alta</t>
        </is>
      </c>
      <c r="F8" s="103" t="inlineStr">
        <is>
          <t>PRO-01</t>
        </is>
      </c>
      <c r="G8" s="103" t="inlineStr">
        <is>
          <t>OBJ-04</t>
        </is>
      </c>
      <c r="H8" s="103" t="inlineStr">
        <is>
          <t>STK-02</t>
        </is>
      </c>
      <c r="I8" s="103" t="inlineStr">
        <is>
          <t>ALC-01</t>
        </is>
      </c>
      <c r="J8" s="103" t="inlineStr">
        <is>
          <t>RF-005</t>
        </is>
      </c>
      <c r="K8" s="103" t="inlineStr">
        <is>
          <t>Solicitud de restablecimiento de contraseña</t>
        </is>
      </c>
      <c r="L8" s="103" t="inlineStr">
        <is>
          <t>RN-009</t>
        </is>
      </c>
      <c r="M8" s="103" t="inlineStr">
        <is>
          <t>HU-005</t>
        </is>
      </c>
      <c r="N8" s="103" t="inlineStr">
        <is>
          <t>CU-05</t>
        </is>
      </c>
      <c r="O8" s="103" t="inlineStr">
        <is>
          <t>UI-001</t>
        </is>
      </c>
      <c r="P8" s="103" t="inlineStr">
        <is>
          <t>auth.controller, auth.service, recuperacion.service</t>
        </is>
      </c>
      <c r="Q8" s="103" t="inlineStr">
        <is>
          <t>usuarios, tokens_seguridad</t>
        </is>
      </c>
      <c r="R8" s="103" t="inlineStr">
        <is>
          <t>POST /api/auth/recuperar</t>
        </is>
      </c>
      <c r="S8" s="103" t="inlineStr">
        <is>
          <t>CP-005</t>
        </is>
      </c>
      <c r="T8" s="103" t="inlineStr">
        <is>
          <t>Manual</t>
        </is>
      </c>
      <c r="U8" s="103" t="inlineStr">
        <is>
          <t>Aprobado</t>
        </is>
      </c>
      <c r="V8" s="103" t="inlineStr">
        <is>
          <t>EV-005</t>
        </is>
      </c>
      <c r="W8" s="103" t="inlineStr">
        <is>
          <t>Plan de Calidad, seccion de clases de prueba</t>
        </is>
      </c>
      <c r="X8" s="103" t="inlineStr">
        <is>
          <t>Juan Carlos Quintero Romero</t>
        </is>
      </c>
      <c r="Y8" s="103" t="inlineStr">
        <is>
          <t>Harryson [apellidos por completar]</t>
        </is>
      </c>
      <c r="Z8" s="103" t="inlineStr">
        <is>
          <t>Aprobado</t>
        </is>
      </c>
      <c r="AA8" s="103" t="inlineStr">
        <is>
          <t>Implementado</t>
        </is>
      </c>
      <c r="AB8" s="103" t="inlineStr">
        <is>
          <t>Aprobado</t>
        </is>
      </c>
      <c r="AC8" s="103" t="inlineStr">
        <is>
          <t>Disponible</t>
        </is>
      </c>
      <c r="AD8" s="103">
        <f>IF(AND(AA8="Implementado",AB8="Aprobado",AC8="Disponible"),"Completa",IF(COUNTA(AA8:AC8)=0,"Sin iniciar","Parcial"))</f>
        <v/>
      </c>
      <c r="AE8" s="104" t="inlineStr">
        <is>
          <t>Verificado contra el codigo</t>
        </is>
      </c>
    </row>
    <row r="9" ht="15" customHeight="1" s="71">
      <c r="A9" s="102" t="inlineStr">
        <is>
          <t>TRZ-006</t>
        </is>
      </c>
      <c r="B9" s="103" t="inlineStr">
        <is>
          <t>1.5</t>
        </is>
      </c>
      <c r="C9" s="103" t="inlineStr">
        <is>
          <t>Autenticación e identidad</t>
        </is>
      </c>
      <c r="D9" s="103" t="inlineStr">
        <is>
          <t>RF</t>
        </is>
      </c>
      <c r="E9" s="103" t="inlineStr">
        <is>
          <t>Alta</t>
        </is>
      </c>
      <c r="F9" s="103" t="inlineStr">
        <is>
          <t>PRO-01</t>
        </is>
      </c>
      <c r="G9" s="103" t="inlineStr">
        <is>
          <t>OBJ-04</t>
        </is>
      </c>
      <c r="H9" s="103" t="inlineStr">
        <is>
          <t>STK-02</t>
        </is>
      </c>
      <c r="I9" s="103" t="inlineStr">
        <is>
          <t>ALC-01</t>
        </is>
      </c>
      <c r="J9" s="103" t="inlineStr">
        <is>
          <t>RF-006</t>
        </is>
      </c>
      <c r="K9" s="103" t="inlineStr">
        <is>
          <t>Restablecimiento de contraseña</t>
        </is>
      </c>
      <c r="L9" s="103" t="inlineStr">
        <is>
          <t>RN-008, RN-010</t>
        </is>
      </c>
      <c r="M9" s="103" t="inlineStr">
        <is>
          <t>HU-006</t>
        </is>
      </c>
      <c r="N9" s="103" t="inlineStr">
        <is>
          <t>CU-05</t>
        </is>
      </c>
      <c r="O9" s="103" t="inlineStr">
        <is>
          <t>UI-001</t>
        </is>
      </c>
      <c r="P9" s="103" t="inlineStr">
        <is>
          <t>auth.controller, auth.service, recuperacion.service</t>
        </is>
      </c>
      <c r="Q9" s="103" t="inlineStr">
        <is>
          <t>usuarios, tokens_seguridad</t>
        </is>
      </c>
      <c r="R9" s="103" t="inlineStr">
        <is>
          <t>POST /api/auth/restablecer</t>
        </is>
      </c>
      <c r="S9" s="103" t="inlineStr">
        <is>
          <t>CP-006</t>
        </is>
      </c>
      <c r="T9" s="103" t="inlineStr">
        <is>
          <t>Manual</t>
        </is>
      </c>
      <c r="U9" s="103" t="inlineStr">
        <is>
          <t>Aprobado</t>
        </is>
      </c>
      <c r="V9" s="103" t="inlineStr">
        <is>
          <t>EV-006</t>
        </is>
      </c>
      <c r="W9" s="103" t="inlineStr">
        <is>
          <t>Plan de Calidad, seccion de clases de prueba</t>
        </is>
      </c>
      <c r="X9" s="103" t="inlineStr">
        <is>
          <t>Juan Carlos Quintero Romero</t>
        </is>
      </c>
      <c r="Y9" s="103" t="inlineStr">
        <is>
          <t>Harryson [apellidos por completar]</t>
        </is>
      </c>
      <c r="Z9" s="103" t="inlineStr">
        <is>
          <t>Aprobado</t>
        </is>
      </c>
      <c r="AA9" s="103" t="inlineStr">
        <is>
          <t>Implementado</t>
        </is>
      </c>
      <c r="AB9" s="103" t="inlineStr">
        <is>
          <t>Aprobado</t>
        </is>
      </c>
      <c r="AC9" s="103" t="inlineStr">
        <is>
          <t>Disponible</t>
        </is>
      </c>
      <c r="AD9" s="103">
        <f>IF(AND(AA9="Implementado",AB9="Aprobado",AC9="Disponible"),"Completa",IF(COUNTA(AA9:AC9)=0,"Sin iniciar","Parcial"))</f>
        <v/>
      </c>
      <c r="AE9" s="104" t="inlineStr">
        <is>
          <t>Verificado contra el codigo</t>
        </is>
      </c>
    </row>
    <row r="10" ht="15" customHeight="1" s="71">
      <c r="A10" s="102" t="inlineStr">
        <is>
          <t>TRZ-007</t>
        </is>
      </c>
      <c r="B10" s="103" t="inlineStr">
        <is>
          <t>1.5</t>
        </is>
      </c>
      <c r="C10" s="103" t="inlineStr">
        <is>
          <t>Autenticación e identidad</t>
        </is>
      </c>
      <c r="D10" s="103" t="inlineStr">
        <is>
          <t>RF</t>
        </is>
      </c>
      <c r="E10" s="103" t="inlineStr">
        <is>
          <t>Alta</t>
        </is>
      </c>
      <c r="F10" s="103" t="inlineStr">
        <is>
          <t>PRO-01</t>
        </is>
      </c>
      <c r="G10" s="103" t="inlineStr">
        <is>
          <t>OBJ-04</t>
        </is>
      </c>
      <c r="H10" s="103" t="inlineStr">
        <is>
          <t>STK-02</t>
        </is>
      </c>
      <c r="I10" s="103" t="inlineStr">
        <is>
          <t>ALC-01</t>
        </is>
      </c>
      <c r="J10" s="103" t="inlineStr">
        <is>
          <t>RF-007</t>
        </is>
      </c>
      <c r="K10" s="103" t="inlineStr">
        <is>
          <t>Verificación de correo y activación de cuenta</t>
        </is>
      </c>
      <c r="L10" s="103" t="inlineStr">
        <is>
          <t>RN-008, RN-010</t>
        </is>
      </c>
      <c r="M10" s="103" t="inlineStr">
        <is>
          <t>HU-007</t>
        </is>
      </c>
      <c r="N10" s="103" t="inlineStr">
        <is>
          <t>CU-05</t>
        </is>
      </c>
      <c r="O10" s="103" t="inlineStr">
        <is>
          <t>UI-001</t>
        </is>
      </c>
      <c r="P10" s="103" t="inlineStr">
        <is>
          <t>auth.controller, auth.service, recuperacion.service</t>
        </is>
      </c>
      <c r="Q10" s="103" t="inlineStr">
        <is>
          <t>usuarios, tokens_seguridad</t>
        </is>
      </c>
      <c r="R10" s="103" t="inlineStr">
        <is>
          <t>POST /api/auth/verificar-email</t>
        </is>
      </c>
      <c r="S10" s="103" t="inlineStr">
        <is>
          <t>CP-007</t>
        </is>
      </c>
      <c r="T10" s="103" t="inlineStr">
        <is>
          <t>Manual</t>
        </is>
      </c>
      <c r="U10" s="103" t="inlineStr">
        <is>
          <t>Aprobado</t>
        </is>
      </c>
      <c r="V10" s="103" t="inlineStr">
        <is>
          <t>EV-007</t>
        </is>
      </c>
      <c r="W10" s="103" t="inlineStr">
        <is>
          <t>Plan de Calidad, seccion de clases de prueba</t>
        </is>
      </c>
      <c r="X10" s="103" t="inlineStr">
        <is>
          <t>Juan Carlos Quintero Romero</t>
        </is>
      </c>
      <c r="Y10" s="103" t="inlineStr">
        <is>
          <t>Harryson [apellidos por completar]</t>
        </is>
      </c>
      <c r="Z10" s="103" t="inlineStr">
        <is>
          <t>Aprobado</t>
        </is>
      </c>
      <c r="AA10" s="103" t="inlineStr">
        <is>
          <t>Implementado</t>
        </is>
      </c>
      <c r="AB10" s="103" t="inlineStr">
        <is>
          <t>Aprobado</t>
        </is>
      </c>
      <c r="AC10" s="103" t="inlineStr">
        <is>
          <t>Disponible</t>
        </is>
      </c>
      <c r="AD10" s="103">
        <f>IF(AND(AA10="Implementado",AB10="Aprobado",AC10="Disponible"),"Completa",IF(COUNTA(AA10:AC10)=0,"Sin iniciar","Parcial"))</f>
        <v/>
      </c>
      <c r="AE10" s="104" t="inlineStr">
        <is>
          <t>Verificado contra el codigo</t>
        </is>
      </c>
    </row>
    <row r="11" ht="15" customHeight="1" s="71">
      <c r="A11" s="102" t="inlineStr">
        <is>
          <t>TRZ-008</t>
        </is>
      </c>
      <c r="B11" s="103" t="inlineStr">
        <is>
          <t>1.5</t>
        </is>
      </c>
      <c r="C11" s="103" t="inlineStr">
        <is>
          <t>Autenticación e identidad</t>
        </is>
      </c>
      <c r="D11" s="103" t="inlineStr">
        <is>
          <t>RF</t>
        </is>
      </c>
      <c r="E11" s="103" t="inlineStr">
        <is>
          <t>Media</t>
        </is>
      </c>
      <c r="F11" s="103" t="inlineStr">
        <is>
          <t>PRO-01</t>
        </is>
      </c>
      <c r="G11" s="103" t="inlineStr">
        <is>
          <t>OBJ-04</t>
        </is>
      </c>
      <c r="H11" s="103" t="inlineStr">
        <is>
          <t>STK-02</t>
        </is>
      </c>
      <c r="I11" s="103" t="inlineStr">
        <is>
          <t>ALC-01</t>
        </is>
      </c>
      <c r="J11" s="103" t="inlineStr">
        <is>
          <t>RF-008</t>
        </is>
      </c>
      <c r="K11" s="103" t="inlineStr">
        <is>
          <t>Reenvío del enlace de verificación</t>
        </is>
      </c>
      <c r="L11" s="103" t="inlineStr">
        <is>
          <t>RN-009</t>
        </is>
      </c>
      <c r="M11" s="103" t="inlineStr">
        <is>
          <t>HU-008</t>
        </is>
      </c>
      <c r="N11" s="103" t="inlineStr">
        <is>
          <t>CU-05</t>
        </is>
      </c>
      <c r="O11" s="103" t="inlineStr">
        <is>
          <t>UI-001</t>
        </is>
      </c>
      <c r="P11" s="103" t="inlineStr">
        <is>
          <t>auth.controller, auth.service, recuperacion.service</t>
        </is>
      </c>
      <c r="Q11" s="103" t="inlineStr">
        <is>
          <t>usuarios, tokens_seguridad</t>
        </is>
      </c>
      <c r="R11" s="103" t="inlineStr">
        <is>
          <t>POST /api/auth/reenviar-verificacion</t>
        </is>
      </c>
      <c r="S11" s="103" t="inlineStr">
        <is>
          <t>CP-008</t>
        </is>
      </c>
      <c r="T11" s="103" t="inlineStr">
        <is>
          <t>Manual</t>
        </is>
      </c>
      <c r="U11" s="103" t="inlineStr">
        <is>
          <t>Aprobado</t>
        </is>
      </c>
      <c r="V11" s="103" t="inlineStr">
        <is>
          <t>EV-008</t>
        </is>
      </c>
      <c r="W11" s="103" t="inlineStr">
        <is>
          <t>Plan de Calidad, seccion de clases de prueba</t>
        </is>
      </c>
      <c r="X11" s="103" t="inlineStr">
        <is>
          <t>Juan Carlos Quintero Romero</t>
        </is>
      </c>
      <c r="Y11" s="103" t="inlineStr">
        <is>
          <t>Harryson [apellidos por completar]</t>
        </is>
      </c>
      <c r="Z11" s="103" t="inlineStr">
        <is>
          <t>Aprobado</t>
        </is>
      </c>
      <c r="AA11" s="103" t="inlineStr">
        <is>
          <t>Implementado</t>
        </is>
      </c>
      <c r="AB11" s="103" t="inlineStr">
        <is>
          <t>Aprobado</t>
        </is>
      </c>
      <c r="AC11" s="103" t="inlineStr">
        <is>
          <t>Disponible</t>
        </is>
      </c>
      <c r="AD11" s="103">
        <f>IF(AND(AA11="Implementado",AB11="Aprobado",AC11="Disponible"),"Completa",IF(COUNTA(AA11:AC11)=0,"Sin iniciar","Parcial"))</f>
        <v/>
      </c>
      <c r="AE11" s="104" t="inlineStr">
        <is>
          <t>Verificado contra el codigo</t>
        </is>
      </c>
    </row>
    <row r="12" ht="15" customHeight="1" s="71">
      <c r="A12" s="102" t="inlineStr">
        <is>
          <t>TRZ-009</t>
        </is>
      </c>
      <c r="B12" s="103" t="inlineStr">
        <is>
          <t>1.5</t>
        </is>
      </c>
      <c r="C12" s="103" t="inlineStr">
        <is>
          <t>Autenticación e identidad</t>
        </is>
      </c>
      <c r="D12" s="103" t="inlineStr">
        <is>
          <t>RF</t>
        </is>
      </c>
      <c r="E12" s="103" t="inlineStr">
        <is>
          <t>Alta</t>
        </is>
      </c>
      <c r="F12" s="103" t="inlineStr">
        <is>
          <t>PRO-01</t>
        </is>
      </c>
      <c r="G12" s="103" t="inlineStr">
        <is>
          <t>OBJ-04</t>
        </is>
      </c>
      <c r="H12" s="103" t="inlineStr">
        <is>
          <t>STK-02</t>
        </is>
      </c>
      <c r="I12" s="103" t="inlineStr">
        <is>
          <t>ALC-01</t>
        </is>
      </c>
      <c r="J12" s="103" t="inlineStr">
        <is>
          <t>RF-009</t>
        </is>
      </c>
      <c r="K12" s="103" t="inlineStr">
        <is>
          <t>Cierre de sesiones al cambiar la contraseña</t>
        </is>
      </c>
      <c r="L12" s="103" t="inlineStr">
        <is>
          <t>—</t>
        </is>
      </c>
      <c r="M12" s="103" t="inlineStr">
        <is>
          <t>HU-009</t>
        </is>
      </c>
      <c r="N12" s="103" t="inlineStr">
        <is>
          <t>CU-05</t>
        </is>
      </c>
      <c r="O12" s="103" t="inlineStr">
        <is>
          <t>UI-001</t>
        </is>
      </c>
      <c r="P12" s="103" t="inlineStr">
        <is>
          <t>auth.controller, auth.service, recuperacion.service</t>
        </is>
      </c>
      <c r="Q12" s="103" t="inlineStr">
        <is>
          <t>usuarios, tokens_seguridad</t>
        </is>
      </c>
      <c r="R12" s="103" t="inlineStr">
        <is>
          <t>—</t>
        </is>
      </c>
      <c r="S12" s="103" t="inlineStr">
        <is>
          <t>CP-009</t>
        </is>
      </c>
      <c r="T12" s="103" t="inlineStr">
        <is>
          <t>Manual</t>
        </is>
      </c>
      <c r="U12" s="103" t="inlineStr">
        <is>
          <t>Aprobado</t>
        </is>
      </c>
      <c r="V12" s="103" t="inlineStr">
        <is>
          <t>EV-009</t>
        </is>
      </c>
      <c r="W12" s="103" t="inlineStr">
        <is>
          <t>Plan de Calidad, seccion de clases de prueba</t>
        </is>
      </c>
      <c r="X12" s="103" t="inlineStr">
        <is>
          <t>Juan Carlos Quintero Romero</t>
        </is>
      </c>
      <c r="Y12" s="103" t="inlineStr">
        <is>
          <t>Harryson [apellidos por completar]</t>
        </is>
      </c>
      <c r="Z12" s="103" t="inlineStr">
        <is>
          <t>Aprobado</t>
        </is>
      </c>
      <c r="AA12" s="103" t="inlineStr">
        <is>
          <t>Implementado</t>
        </is>
      </c>
      <c r="AB12" s="103" t="inlineStr">
        <is>
          <t>Aprobado</t>
        </is>
      </c>
      <c r="AC12" s="103" t="inlineStr">
        <is>
          <t>Disponible</t>
        </is>
      </c>
      <c r="AD12" s="103">
        <f>IF(AND(AA12="Implementado",AB12="Aprobado",AC12="Disponible"),"Completa",IF(COUNTA(AA12:AC12)=0,"Sin iniciar","Parcial"))</f>
        <v/>
      </c>
      <c r="AE12" s="104" t="inlineStr">
        <is>
          <t>Verificado contra el codigo</t>
        </is>
      </c>
    </row>
    <row r="13" ht="15" customHeight="1" s="71">
      <c r="A13" s="102" t="inlineStr">
        <is>
          <t>TRZ-010</t>
        </is>
      </c>
      <c r="B13" s="103" t="inlineStr">
        <is>
          <t>1.5</t>
        </is>
      </c>
      <c r="C13" s="103" t="inlineStr">
        <is>
          <t>Gestión de usuarios</t>
        </is>
      </c>
      <c r="D13" s="103" t="inlineStr">
        <is>
          <t>RF</t>
        </is>
      </c>
      <c r="E13" s="103" t="inlineStr">
        <is>
          <t>Media</t>
        </is>
      </c>
      <c r="F13" s="103" t="inlineStr">
        <is>
          <t>PRO-01</t>
        </is>
      </c>
      <c r="G13" s="103" t="inlineStr">
        <is>
          <t>OBJ-04</t>
        </is>
      </c>
      <c r="H13" s="103" t="inlineStr">
        <is>
          <t>STK-02</t>
        </is>
      </c>
      <c r="I13" s="103" t="inlineStr">
        <is>
          <t>ALC-02</t>
        </is>
      </c>
      <c r="J13" s="103" t="inlineStr">
        <is>
          <t>RF-010</t>
        </is>
      </c>
      <c r="K13" s="103" t="inlineStr">
        <is>
          <t>Listado de usuarios</t>
        </is>
      </c>
      <c r="L13" s="103" t="inlineStr">
        <is>
          <t>—</t>
        </is>
      </c>
      <c r="M13" s="103" t="inlineStr">
        <is>
          <t>HU-010</t>
        </is>
      </c>
      <c r="N13" s="103" t="inlineStr">
        <is>
          <t>CU-06</t>
        </is>
      </c>
      <c r="O13" s="103" t="inlineStr">
        <is>
          <t>UI-014</t>
        </is>
      </c>
      <c r="P13" s="103" t="inlineStr">
        <is>
          <t>usuario.controller, usuario.service</t>
        </is>
      </c>
      <c r="Q13" s="103" t="inlineStr">
        <is>
          <t>usuarios</t>
        </is>
      </c>
      <c r="R13" s="103" t="inlineStr">
        <is>
          <t>GET /api/usuarios</t>
        </is>
      </c>
      <c r="S13" s="103" t="inlineStr">
        <is>
          <t>CP-010</t>
        </is>
      </c>
      <c r="T13" s="103" t="inlineStr">
        <is>
          <t>Manual</t>
        </is>
      </c>
      <c r="U13" s="103" t="inlineStr">
        <is>
          <t>Aprobado</t>
        </is>
      </c>
      <c r="V13" s="103" t="inlineStr">
        <is>
          <t>EV-010</t>
        </is>
      </c>
      <c r="W13" s="103" t="inlineStr">
        <is>
          <t>Plan de Calidad, seccion de clases de prueba</t>
        </is>
      </c>
      <c r="X13" s="103" t="inlineStr">
        <is>
          <t>Juan Carlos Quintero Romero</t>
        </is>
      </c>
      <c r="Y13" s="103" t="inlineStr">
        <is>
          <t>Harryson [apellidos por completar]</t>
        </is>
      </c>
      <c r="Z13" s="103" t="inlineStr">
        <is>
          <t>Aprobado</t>
        </is>
      </c>
      <c r="AA13" s="103" t="inlineStr">
        <is>
          <t>Implementado</t>
        </is>
      </c>
      <c r="AB13" s="103" t="inlineStr">
        <is>
          <t>Aprobado</t>
        </is>
      </c>
      <c r="AC13" s="103" t="inlineStr">
        <is>
          <t>Disponible</t>
        </is>
      </c>
      <c r="AD13" s="103">
        <f>IF(AND(AA13="Implementado",AB13="Aprobado",AC13="Disponible"),"Completa",IF(COUNTA(AA13:AC13)=0,"Sin iniciar","Parcial"))</f>
        <v/>
      </c>
      <c r="AE13" s="104" t="inlineStr">
        <is>
          <t>Verificado contra el codigo</t>
        </is>
      </c>
    </row>
    <row r="14" ht="15" customHeight="1" s="71">
      <c r="A14" s="102" t="inlineStr">
        <is>
          <t>TRZ-011</t>
        </is>
      </c>
      <c r="B14" s="103" t="inlineStr">
        <is>
          <t>1.5</t>
        </is>
      </c>
      <c r="C14" s="103" t="inlineStr">
        <is>
          <t>Gestión de usuarios</t>
        </is>
      </c>
      <c r="D14" s="103" t="inlineStr">
        <is>
          <t>RF</t>
        </is>
      </c>
      <c r="E14" s="103" t="inlineStr">
        <is>
          <t>Media</t>
        </is>
      </c>
      <c r="F14" s="103" t="inlineStr">
        <is>
          <t>PRO-01</t>
        </is>
      </c>
      <c r="G14" s="103" t="inlineStr">
        <is>
          <t>OBJ-04</t>
        </is>
      </c>
      <c r="H14" s="103" t="inlineStr">
        <is>
          <t>STK-02</t>
        </is>
      </c>
      <c r="I14" s="103" t="inlineStr">
        <is>
          <t>ALC-02</t>
        </is>
      </c>
      <c r="J14" s="103" t="inlineStr">
        <is>
          <t>RF-011</t>
        </is>
      </c>
      <c r="K14" s="103" t="inlineStr">
        <is>
          <t>Consulta de un usuario</t>
        </is>
      </c>
      <c r="L14" s="103" t="inlineStr">
        <is>
          <t>—</t>
        </is>
      </c>
      <c r="M14" s="103" t="inlineStr">
        <is>
          <t>HU-011</t>
        </is>
      </c>
      <c r="N14" s="103" t="inlineStr">
        <is>
          <t>CU-06</t>
        </is>
      </c>
      <c r="O14" s="103" t="inlineStr">
        <is>
          <t>UI-014</t>
        </is>
      </c>
      <c r="P14" s="103" t="inlineStr">
        <is>
          <t>usuario.controller, usuario.service</t>
        </is>
      </c>
      <c r="Q14" s="103" t="inlineStr">
        <is>
          <t>usuarios</t>
        </is>
      </c>
      <c r="R14" s="103" t="inlineStr">
        <is>
          <t>GET /api/usuarios/:id</t>
        </is>
      </c>
      <c r="S14" s="103" t="inlineStr">
        <is>
          <t>CP-011</t>
        </is>
      </c>
      <c r="T14" s="103" t="inlineStr">
        <is>
          <t>Manual</t>
        </is>
      </c>
      <c r="U14" s="103" t="inlineStr">
        <is>
          <t>Aprobado</t>
        </is>
      </c>
      <c r="V14" s="103" t="inlineStr">
        <is>
          <t>EV-011</t>
        </is>
      </c>
      <c r="W14" s="103" t="inlineStr">
        <is>
          <t>Plan de Calidad, seccion de clases de prueba</t>
        </is>
      </c>
      <c r="X14" s="103" t="inlineStr">
        <is>
          <t>Juan Carlos Quintero Romero</t>
        </is>
      </c>
      <c r="Y14" s="103" t="inlineStr">
        <is>
          <t>Harryson [apellidos por completar]</t>
        </is>
      </c>
      <c r="Z14" s="103" t="inlineStr">
        <is>
          <t>Aprobado</t>
        </is>
      </c>
      <c r="AA14" s="103" t="inlineStr">
        <is>
          <t>Implementado</t>
        </is>
      </c>
      <c r="AB14" s="103" t="inlineStr">
        <is>
          <t>Aprobado</t>
        </is>
      </c>
      <c r="AC14" s="103" t="inlineStr">
        <is>
          <t>Disponible</t>
        </is>
      </c>
      <c r="AD14" s="103">
        <f>IF(AND(AA14="Implementado",AB14="Aprobado",AC14="Disponible"),"Completa",IF(COUNTA(AA14:AC14)=0,"Sin iniciar","Parcial"))</f>
        <v/>
      </c>
      <c r="AE14" s="104" t="inlineStr">
        <is>
          <t>Verificado contra el codigo</t>
        </is>
      </c>
    </row>
    <row r="15" ht="15" customHeight="1" s="71">
      <c r="A15" s="102" t="inlineStr">
        <is>
          <t>TRZ-012</t>
        </is>
      </c>
      <c r="B15" s="103" t="inlineStr">
        <is>
          <t>1.5</t>
        </is>
      </c>
      <c r="C15" s="103" t="inlineStr">
        <is>
          <t>Gestión de usuarios</t>
        </is>
      </c>
      <c r="D15" s="103" t="inlineStr">
        <is>
          <t>RF</t>
        </is>
      </c>
      <c r="E15" s="103" t="inlineStr">
        <is>
          <t>Alta</t>
        </is>
      </c>
      <c r="F15" s="103" t="inlineStr">
        <is>
          <t>PRO-01</t>
        </is>
      </c>
      <c r="G15" s="103" t="inlineStr">
        <is>
          <t>OBJ-04</t>
        </is>
      </c>
      <c r="H15" s="103" t="inlineStr">
        <is>
          <t>STK-02</t>
        </is>
      </c>
      <c r="I15" s="103" t="inlineStr">
        <is>
          <t>ALC-02</t>
        </is>
      </c>
      <c r="J15" s="103" t="inlineStr">
        <is>
          <t>RF-012</t>
        </is>
      </c>
      <c r="K15" s="103" t="inlineStr">
        <is>
          <t>Creación de cuentas de personal</t>
        </is>
      </c>
      <c r="L15" s="103" t="inlineStr">
        <is>
          <t>RN-006</t>
        </is>
      </c>
      <c r="M15" s="103" t="inlineStr">
        <is>
          <t>HU-012</t>
        </is>
      </c>
      <c r="N15" s="103" t="inlineStr">
        <is>
          <t>CU-06</t>
        </is>
      </c>
      <c r="O15" s="103" t="inlineStr">
        <is>
          <t>UI-014</t>
        </is>
      </c>
      <c r="P15" s="103" t="inlineStr">
        <is>
          <t>usuario.controller, usuario.service</t>
        </is>
      </c>
      <c r="Q15" s="103" t="inlineStr">
        <is>
          <t>usuarios</t>
        </is>
      </c>
      <c r="R15" s="103" t="inlineStr">
        <is>
          <t>POST /api/usuarios</t>
        </is>
      </c>
      <c r="S15" s="103" t="inlineStr">
        <is>
          <t>CP-012</t>
        </is>
      </c>
      <c r="T15" s="103" t="inlineStr">
        <is>
          <t>Manual</t>
        </is>
      </c>
      <c r="U15" s="103" t="inlineStr">
        <is>
          <t>Aprobado</t>
        </is>
      </c>
      <c r="V15" s="103" t="inlineStr">
        <is>
          <t>EV-012</t>
        </is>
      </c>
      <c r="W15" s="103" t="inlineStr">
        <is>
          <t>Plan de Calidad, seccion de clases de prueba</t>
        </is>
      </c>
      <c r="X15" s="103" t="inlineStr">
        <is>
          <t>Juan Carlos Quintero Romero</t>
        </is>
      </c>
      <c r="Y15" s="103" t="inlineStr">
        <is>
          <t>Harryson [apellidos por completar]</t>
        </is>
      </c>
      <c r="Z15" s="103" t="inlineStr">
        <is>
          <t>Aprobado</t>
        </is>
      </c>
      <c r="AA15" s="103" t="inlineStr">
        <is>
          <t>Implementado</t>
        </is>
      </c>
      <c r="AB15" s="103" t="inlineStr">
        <is>
          <t>Aprobado</t>
        </is>
      </c>
      <c r="AC15" s="103" t="inlineStr">
        <is>
          <t>Disponible</t>
        </is>
      </c>
      <c r="AD15" s="103">
        <f>IF(AND(AA15="Implementado",AB15="Aprobado",AC15="Disponible"),"Completa",IF(COUNTA(AA15:AC15)=0,"Sin iniciar","Parcial"))</f>
        <v/>
      </c>
      <c r="AE15" s="104" t="inlineStr">
        <is>
          <t>Verificado contra el codigo</t>
        </is>
      </c>
    </row>
    <row r="16" ht="15" customHeight="1" s="71">
      <c r="A16" s="102" t="inlineStr">
        <is>
          <t>TRZ-013</t>
        </is>
      </c>
      <c r="B16" s="103" t="inlineStr">
        <is>
          <t>1.5</t>
        </is>
      </c>
      <c r="C16" s="103" t="inlineStr">
        <is>
          <t>Gestión de usuarios</t>
        </is>
      </c>
      <c r="D16" s="103" t="inlineStr">
        <is>
          <t>RF</t>
        </is>
      </c>
      <c r="E16" s="103" t="inlineStr">
        <is>
          <t>Media</t>
        </is>
      </c>
      <c r="F16" s="103" t="inlineStr">
        <is>
          <t>PRO-01</t>
        </is>
      </c>
      <c r="G16" s="103" t="inlineStr">
        <is>
          <t>OBJ-04</t>
        </is>
      </c>
      <c r="H16" s="103" t="inlineStr">
        <is>
          <t>STK-02</t>
        </is>
      </c>
      <c r="I16" s="103" t="inlineStr">
        <is>
          <t>ALC-02</t>
        </is>
      </c>
      <c r="J16" s="103" t="inlineStr">
        <is>
          <t>RF-013</t>
        </is>
      </c>
      <c r="K16" s="103" t="inlineStr">
        <is>
          <t>Actualización de nombre y rol</t>
        </is>
      </c>
      <c r="L16" s="103" t="inlineStr">
        <is>
          <t>—</t>
        </is>
      </c>
      <c r="M16" s="103" t="inlineStr">
        <is>
          <t>HU-013</t>
        </is>
      </c>
      <c r="N16" s="103" t="inlineStr">
        <is>
          <t>CU-06</t>
        </is>
      </c>
      <c r="O16" s="103" t="inlineStr">
        <is>
          <t>UI-014</t>
        </is>
      </c>
      <c r="P16" s="103" t="inlineStr">
        <is>
          <t>usuario.controller, usuario.service</t>
        </is>
      </c>
      <c r="Q16" s="103" t="inlineStr">
        <is>
          <t>usuarios</t>
        </is>
      </c>
      <c r="R16" s="103" t="inlineStr">
        <is>
          <t>PUT /api/usuarios/:id</t>
        </is>
      </c>
      <c r="S16" s="103" t="inlineStr">
        <is>
          <t>CP-013</t>
        </is>
      </c>
      <c r="T16" s="103" t="inlineStr">
        <is>
          <t>Manual</t>
        </is>
      </c>
      <c r="U16" s="103" t="inlineStr">
        <is>
          <t>Aprobado</t>
        </is>
      </c>
      <c r="V16" s="103" t="inlineStr">
        <is>
          <t>EV-013</t>
        </is>
      </c>
      <c r="W16" s="103" t="inlineStr">
        <is>
          <t>Plan de Calidad, seccion de clases de prueba</t>
        </is>
      </c>
      <c r="X16" s="103" t="inlineStr">
        <is>
          <t>Juan Carlos Quintero Romero</t>
        </is>
      </c>
      <c r="Y16" s="103" t="inlineStr">
        <is>
          <t>Harryson [apellidos por completar]</t>
        </is>
      </c>
      <c r="Z16" s="103" t="inlineStr">
        <is>
          <t>Aprobado</t>
        </is>
      </c>
      <c r="AA16" s="103" t="inlineStr">
        <is>
          <t>Implementado</t>
        </is>
      </c>
      <c r="AB16" s="103" t="inlineStr">
        <is>
          <t>Aprobado</t>
        </is>
      </c>
      <c r="AC16" s="103" t="inlineStr">
        <is>
          <t>Disponible</t>
        </is>
      </c>
      <c r="AD16" s="103">
        <f>IF(AND(AA16="Implementado",AB16="Aprobado",AC16="Disponible"),"Completa",IF(COUNTA(AA16:AC16)=0,"Sin iniciar","Parcial"))</f>
        <v/>
      </c>
      <c r="AE16" s="104" t="inlineStr">
        <is>
          <t>Verificado contra el codigo</t>
        </is>
      </c>
    </row>
    <row r="17" ht="15" customHeight="1" s="71">
      <c r="A17" s="102" t="inlineStr">
        <is>
          <t>TRZ-014</t>
        </is>
      </c>
      <c r="B17" s="103" t="inlineStr">
        <is>
          <t>1.5</t>
        </is>
      </c>
      <c r="C17" s="103" t="inlineStr">
        <is>
          <t>Gestión de usuarios</t>
        </is>
      </c>
      <c r="D17" s="103" t="inlineStr">
        <is>
          <t>RF</t>
        </is>
      </c>
      <c r="E17" s="103" t="inlineStr">
        <is>
          <t>Alta</t>
        </is>
      </c>
      <c r="F17" s="103" t="inlineStr">
        <is>
          <t>PRO-01</t>
        </is>
      </c>
      <c r="G17" s="103" t="inlineStr">
        <is>
          <t>OBJ-04</t>
        </is>
      </c>
      <c r="H17" s="103" t="inlineStr">
        <is>
          <t>STK-02</t>
        </is>
      </c>
      <c r="I17" s="103" t="inlineStr">
        <is>
          <t>ALC-02</t>
        </is>
      </c>
      <c r="J17" s="103" t="inlineStr">
        <is>
          <t>RF-014</t>
        </is>
      </c>
      <c r="K17" s="103" t="inlineStr">
        <is>
          <t>Activación y desactivación de cuentas</t>
        </is>
      </c>
      <c r="L17" s="103" t="inlineStr">
        <is>
          <t>RN-003, RN-004, RN-005</t>
        </is>
      </c>
      <c r="M17" s="103" t="inlineStr">
        <is>
          <t>HU-014</t>
        </is>
      </c>
      <c r="N17" s="103" t="inlineStr">
        <is>
          <t>CU-06</t>
        </is>
      </c>
      <c r="O17" s="103" t="inlineStr">
        <is>
          <t>UI-014</t>
        </is>
      </c>
      <c r="P17" s="103" t="inlineStr">
        <is>
          <t>usuario.controller, usuario.service</t>
        </is>
      </c>
      <c r="Q17" s="103" t="inlineStr">
        <is>
          <t>usuarios</t>
        </is>
      </c>
      <c r="R17" s="103" t="inlineStr">
        <is>
          <t>PATCH /api/usuarios/:id/activo</t>
        </is>
      </c>
      <c r="S17" s="103" t="inlineStr">
        <is>
          <t>CP-014</t>
        </is>
      </c>
      <c r="T17" s="103" t="inlineStr">
        <is>
          <t>Manual</t>
        </is>
      </c>
      <c r="U17" s="103" t="inlineStr">
        <is>
          <t>Aprobado</t>
        </is>
      </c>
      <c r="V17" s="103" t="inlineStr">
        <is>
          <t>EV-014</t>
        </is>
      </c>
      <c r="W17" s="103" t="inlineStr">
        <is>
          <t>Plan de Calidad, seccion de clases de prueba</t>
        </is>
      </c>
      <c r="X17" s="103" t="inlineStr">
        <is>
          <t>Juan Carlos Quintero Romero</t>
        </is>
      </c>
      <c r="Y17" s="103" t="inlineStr">
        <is>
          <t>Harryson [apellidos por completar]</t>
        </is>
      </c>
      <c r="Z17" s="103" t="inlineStr">
        <is>
          <t>Aprobado</t>
        </is>
      </c>
      <c r="AA17" s="103" t="inlineStr">
        <is>
          <t>Implementado</t>
        </is>
      </c>
      <c r="AB17" s="103" t="inlineStr">
        <is>
          <t>Aprobado</t>
        </is>
      </c>
      <c r="AC17" s="103" t="inlineStr">
        <is>
          <t>Disponible</t>
        </is>
      </c>
      <c r="AD17" s="103">
        <f>IF(AND(AA17="Implementado",AB17="Aprobado",AC17="Disponible"),"Completa",IF(COUNTA(AA17:AC17)=0,"Sin iniciar","Parcial"))</f>
        <v/>
      </c>
      <c r="AE17" s="104" t="inlineStr">
        <is>
          <t>Verificado contra el codigo</t>
        </is>
      </c>
    </row>
    <row r="18" ht="15" customHeight="1" s="71">
      <c r="A18" s="102" t="inlineStr">
        <is>
          <t>TRZ-015</t>
        </is>
      </c>
      <c r="B18" s="103" t="inlineStr">
        <is>
          <t>1.5</t>
        </is>
      </c>
      <c r="C18" s="103" t="inlineStr">
        <is>
          <t>Clientes</t>
        </is>
      </c>
      <c r="D18" s="103" t="inlineStr">
        <is>
          <t>RF</t>
        </is>
      </c>
      <c r="E18" s="103" t="inlineStr">
        <is>
          <t>Alta</t>
        </is>
      </c>
      <c r="F18" s="103" t="inlineStr">
        <is>
          <t>PRO-01</t>
        </is>
      </c>
      <c r="G18" s="103" t="inlineStr">
        <is>
          <t>OBJ-01</t>
        </is>
      </c>
      <c r="H18" s="103" t="inlineStr">
        <is>
          <t>STK-02</t>
        </is>
      </c>
      <c r="I18" s="103" t="inlineStr">
        <is>
          <t>ALC-03</t>
        </is>
      </c>
      <c r="J18" s="103" t="inlineStr">
        <is>
          <t>RF-015</t>
        </is>
      </c>
      <c r="K18" s="103" t="inlineStr">
        <is>
          <t>Registro de cliente</t>
        </is>
      </c>
      <c r="L18" s="103" t="inlineStr">
        <is>
          <t>RN-007</t>
        </is>
      </c>
      <c r="M18" s="103" t="inlineStr">
        <is>
          <t>HU-015</t>
        </is>
      </c>
      <c r="N18" s="103" t="inlineStr">
        <is>
          <t>—</t>
        </is>
      </c>
      <c r="O18" s="103" t="inlineStr">
        <is>
          <t>UI-009</t>
        </is>
      </c>
      <c r="P18" s="103" t="inlineStr">
        <is>
          <t>cliente.controller, cliente.service</t>
        </is>
      </c>
      <c r="Q18" s="103" t="inlineStr">
        <is>
          <t>clientes</t>
        </is>
      </c>
      <c r="R18" s="103" t="inlineStr">
        <is>
          <t>POST /api/clientes</t>
        </is>
      </c>
      <c r="S18" s="103" t="inlineStr">
        <is>
          <t>CP-015</t>
        </is>
      </c>
      <c r="T18" s="103" t="inlineStr">
        <is>
          <t>Manual</t>
        </is>
      </c>
      <c r="U18" s="103" t="inlineStr">
        <is>
          <t>Aprobado</t>
        </is>
      </c>
      <c r="V18" s="103" t="inlineStr">
        <is>
          <t>EV-015</t>
        </is>
      </c>
      <c r="W18" s="103" t="inlineStr">
        <is>
          <t>Plan de Calidad, seccion de clases de prueba</t>
        </is>
      </c>
      <c r="X18" s="103" t="inlineStr">
        <is>
          <t>Juan Carlos Quintero Romero</t>
        </is>
      </c>
      <c r="Y18" s="103" t="inlineStr">
        <is>
          <t>Harryson [apellidos por completar]</t>
        </is>
      </c>
      <c r="Z18" s="103" t="inlineStr">
        <is>
          <t>Aprobado</t>
        </is>
      </c>
      <c r="AA18" s="103" t="inlineStr">
        <is>
          <t>Implementado</t>
        </is>
      </c>
      <c r="AB18" s="103" t="inlineStr">
        <is>
          <t>Aprobado</t>
        </is>
      </c>
      <c r="AC18" s="103" t="inlineStr">
        <is>
          <t>Disponible</t>
        </is>
      </c>
      <c r="AD18" s="103">
        <f>IF(AND(AA18="Implementado",AB18="Aprobado",AC18="Disponible"),"Completa",IF(COUNTA(AA18:AC18)=0,"Sin iniciar","Parcial"))</f>
        <v/>
      </c>
      <c r="AE18" s="104" t="inlineStr">
        <is>
          <t>Verificado contra el codigo</t>
        </is>
      </c>
    </row>
    <row r="19" ht="15" customHeight="1" s="71">
      <c r="A19" s="102" t="inlineStr">
        <is>
          <t>TRZ-016</t>
        </is>
      </c>
      <c r="B19" s="103" t="inlineStr">
        <is>
          <t>1.5</t>
        </is>
      </c>
      <c r="C19" s="103" t="inlineStr">
        <is>
          <t>Clientes</t>
        </is>
      </c>
      <c r="D19" s="103" t="inlineStr">
        <is>
          <t>RF</t>
        </is>
      </c>
      <c r="E19" s="103" t="inlineStr">
        <is>
          <t>Media</t>
        </is>
      </c>
      <c r="F19" s="103" t="inlineStr">
        <is>
          <t>PRO-01</t>
        </is>
      </c>
      <c r="G19" s="103" t="inlineStr">
        <is>
          <t>OBJ-01</t>
        </is>
      </c>
      <c r="H19" s="103" t="inlineStr">
        <is>
          <t>STK-02</t>
        </is>
      </c>
      <c r="I19" s="103" t="inlineStr">
        <is>
          <t>ALC-03</t>
        </is>
      </c>
      <c r="J19" s="103" t="inlineStr">
        <is>
          <t>RF-016</t>
        </is>
      </c>
      <c r="K19" s="103" t="inlineStr">
        <is>
          <t>Listado de clientes</t>
        </is>
      </c>
      <c r="L19" s="103" t="inlineStr">
        <is>
          <t>—</t>
        </is>
      </c>
      <c r="M19" s="103" t="inlineStr">
        <is>
          <t>HU-016</t>
        </is>
      </c>
      <c r="N19" s="103" t="inlineStr">
        <is>
          <t>—</t>
        </is>
      </c>
      <c r="O19" s="103" t="inlineStr">
        <is>
          <t>UI-009</t>
        </is>
      </c>
      <c r="P19" s="103" t="inlineStr">
        <is>
          <t>cliente.controller, cliente.service</t>
        </is>
      </c>
      <c r="Q19" s="103" t="inlineStr">
        <is>
          <t>clientes</t>
        </is>
      </c>
      <c r="R19" s="103" t="inlineStr">
        <is>
          <t>GET /api/clientes</t>
        </is>
      </c>
      <c r="S19" s="103" t="inlineStr">
        <is>
          <t>CP-016</t>
        </is>
      </c>
      <c r="T19" s="103" t="inlineStr">
        <is>
          <t>Manual</t>
        </is>
      </c>
      <c r="U19" s="103" t="inlineStr">
        <is>
          <t>Aprobado</t>
        </is>
      </c>
      <c r="V19" s="103" t="inlineStr">
        <is>
          <t>EV-016</t>
        </is>
      </c>
      <c r="W19" s="103" t="inlineStr">
        <is>
          <t>Plan de Calidad, seccion de clases de prueba</t>
        </is>
      </c>
      <c r="X19" s="103" t="inlineStr">
        <is>
          <t>Juan Carlos Quintero Romero</t>
        </is>
      </c>
      <c r="Y19" s="103" t="inlineStr">
        <is>
          <t>Harryson [apellidos por completar]</t>
        </is>
      </c>
      <c r="Z19" s="103" t="inlineStr">
        <is>
          <t>Aprobado</t>
        </is>
      </c>
      <c r="AA19" s="103" t="inlineStr">
        <is>
          <t>Implementado</t>
        </is>
      </c>
      <c r="AB19" s="103" t="inlineStr">
        <is>
          <t>Aprobado</t>
        </is>
      </c>
      <c r="AC19" s="103" t="inlineStr">
        <is>
          <t>Disponible</t>
        </is>
      </c>
      <c r="AD19" s="103">
        <f>IF(AND(AA19="Implementado",AB19="Aprobado",AC19="Disponible"),"Completa",IF(COUNTA(AA19:AC19)=0,"Sin iniciar","Parcial"))</f>
        <v/>
      </c>
      <c r="AE19" s="104" t="inlineStr">
        <is>
          <t>Verificado contra el codigo</t>
        </is>
      </c>
    </row>
    <row r="20" ht="15" customHeight="1" s="71">
      <c r="A20" s="102" t="inlineStr">
        <is>
          <t>TRZ-017</t>
        </is>
      </c>
      <c r="B20" s="103" t="inlineStr">
        <is>
          <t>1.5</t>
        </is>
      </c>
      <c r="C20" s="103" t="inlineStr">
        <is>
          <t>Clientes</t>
        </is>
      </c>
      <c r="D20" s="103" t="inlineStr">
        <is>
          <t>RF</t>
        </is>
      </c>
      <c r="E20" s="103" t="inlineStr">
        <is>
          <t>Media</t>
        </is>
      </c>
      <c r="F20" s="103" t="inlineStr">
        <is>
          <t>PRO-01</t>
        </is>
      </c>
      <c r="G20" s="103" t="inlineStr">
        <is>
          <t>OBJ-01</t>
        </is>
      </c>
      <c r="H20" s="103" t="inlineStr">
        <is>
          <t>STK-02</t>
        </is>
      </c>
      <c r="I20" s="103" t="inlineStr">
        <is>
          <t>ALC-03</t>
        </is>
      </c>
      <c r="J20" s="103" t="inlineStr">
        <is>
          <t>RF-017</t>
        </is>
      </c>
      <c r="K20" s="103" t="inlineStr">
        <is>
          <t>Consulta de cliente</t>
        </is>
      </c>
      <c r="L20" s="103" t="inlineStr">
        <is>
          <t>—</t>
        </is>
      </c>
      <c r="M20" s="103" t="inlineStr">
        <is>
          <t>HU-017</t>
        </is>
      </c>
      <c r="N20" s="103" t="inlineStr">
        <is>
          <t>—</t>
        </is>
      </c>
      <c r="O20" s="103" t="inlineStr">
        <is>
          <t>UI-009</t>
        </is>
      </c>
      <c r="P20" s="103" t="inlineStr">
        <is>
          <t>cliente.controller, cliente.service</t>
        </is>
      </c>
      <c r="Q20" s="103" t="inlineStr">
        <is>
          <t>clientes</t>
        </is>
      </c>
      <c r="R20" s="103" t="inlineStr">
        <is>
          <t>GET /api/clientes/:id</t>
        </is>
      </c>
      <c r="S20" s="103" t="inlineStr">
        <is>
          <t>CP-017</t>
        </is>
      </c>
      <c r="T20" s="103" t="inlineStr">
        <is>
          <t>Manual</t>
        </is>
      </c>
      <c r="U20" s="103" t="inlineStr">
        <is>
          <t>Aprobado</t>
        </is>
      </c>
      <c r="V20" s="103" t="inlineStr">
        <is>
          <t>EV-017</t>
        </is>
      </c>
      <c r="W20" s="103" t="inlineStr">
        <is>
          <t>Plan de Calidad, seccion de clases de prueba</t>
        </is>
      </c>
      <c r="X20" s="103" t="inlineStr">
        <is>
          <t>Juan Carlos Quintero Romero</t>
        </is>
      </c>
      <c r="Y20" s="103" t="inlineStr">
        <is>
          <t>Harryson [apellidos por completar]</t>
        </is>
      </c>
      <c r="Z20" s="103" t="inlineStr">
        <is>
          <t>Aprobado</t>
        </is>
      </c>
      <c r="AA20" s="103" t="inlineStr">
        <is>
          <t>Implementado</t>
        </is>
      </c>
      <c r="AB20" s="103" t="inlineStr">
        <is>
          <t>Aprobado</t>
        </is>
      </c>
      <c r="AC20" s="103" t="inlineStr">
        <is>
          <t>Disponible</t>
        </is>
      </c>
      <c r="AD20" s="103">
        <f>IF(AND(AA20="Implementado",AB20="Aprobado",AC20="Disponible"),"Completa",IF(COUNTA(AA20:AC20)=0,"Sin iniciar","Parcial"))</f>
        <v/>
      </c>
      <c r="AE20" s="104" t="inlineStr">
        <is>
          <t>Verificado contra el codigo</t>
        </is>
      </c>
    </row>
    <row r="21" ht="15" customHeight="1" s="71">
      <c r="A21" s="102" t="inlineStr">
        <is>
          <t>TRZ-018</t>
        </is>
      </c>
      <c r="B21" s="103" t="inlineStr">
        <is>
          <t>1.5</t>
        </is>
      </c>
      <c r="C21" s="103" t="inlineStr">
        <is>
          <t>Clientes</t>
        </is>
      </c>
      <c r="D21" s="103" t="inlineStr">
        <is>
          <t>RF</t>
        </is>
      </c>
      <c r="E21" s="103" t="inlineStr">
        <is>
          <t>Media</t>
        </is>
      </c>
      <c r="F21" s="103" t="inlineStr">
        <is>
          <t>PRO-01</t>
        </is>
      </c>
      <c r="G21" s="103" t="inlineStr">
        <is>
          <t>OBJ-01</t>
        </is>
      </c>
      <c r="H21" s="103" t="inlineStr">
        <is>
          <t>STK-02</t>
        </is>
      </c>
      <c r="I21" s="103" t="inlineStr">
        <is>
          <t>ALC-03</t>
        </is>
      </c>
      <c r="J21" s="103" t="inlineStr">
        <is>
          <t>RF-018</t>
        </is>
      </c>
      <c r="K21" s="103" t="inlineStr">
        <is>
          <t>Actualización de datos de contacto</t>
        </is>
      </c>
      <c r="L21" s="103" t="inlineStr">
        <is>
          <t>—</t>
        </is>
      </c>
      <c r="M21" s="103" t="inlineStr">
        <is>
          <t>HU-018</t>
        </is>
      </c>
      <c r="N21" s="103" t="inlineStr">
        <is>
          <t>—</t>
        </is>
      </c>
      <c r="O21" s="103" t="inlineStr">
        <is>
          <t>UI-009</t>
        </is>
      </c>
      <c r="P21" s="103" t="inlineStr">
        <is>
          <t>cliente.controller, cliente.service</t>
        </is>
      </c>
      <c r="Q21" s="103" t="inlineStr">
        <is>
          <t>clientes</t>
        </is>
      </c>
      <c r="R21" s="103" t="inlineStr">
        <is>
          <t>PUT /api/clientes/:id</t>
        </is>
      </c>
      <c r="S21" s="103" t="inlineStr">
        <is>
          <t>CP-018</t>
        </is>
      </c>
      <c r="T21" s="103" t="inlineStr">
        <is>
          <t>Manual</t>
        </is>
      </c>
      <c r="U21" s="103" t="inlineStr">
        <is>
          <t>Aprobado</t>
        </is>
      </c>
      <c r="V21" s="103" t="inlineStr">
        <is>
          <t>EV-018</t>
        </is>
      </c>
      <c r="W21" s="103" t="inlineStr">
        <is>
          <t>Plan de Calidad, seccion de clases de prueba</t>
        </is>
      </c>
      <c r="X21" s="103" t="inlineStr">
        <is>
          <t>Juan Carlos Quintero Romero</t>
        </is>
      </c>
      <c r="Y21" s="103" t="inlineStr">
        <is>
          <t>Harryson [apellidos por completar]</t>
        </is>
      </c>
      <c r="Z21" s="103" t="inlineStr">
        <is>
          <t>Aprobado</t>
        </is>
      </c>
      <c r="AA21" s="103" t="inlineStr">
        <is>
          <t>Implementado</t>
        </is>
      </c>
      <c r="AB21" s="103" t="inlineStr">
        <is>
          <t>Aprobado</t>
        </is>
      </c>
      <c r="AC21" s="103" t="inlineStr">
        <is>
          <t>Disponible</t>
        </is>
      </c>
      <c r="AD21" s="103">
        <f>IF(AND(AA21="Implementado",AB21="Aprobado",AC21="Disponible"),"Completa",IF(COUNTA(AA21:AC21)=0,"Sin iniciar","Parcial"))</f>
        <v/>
      </c>
      <c r="AE21" s="104" t="inlineStr">
        <is>
          <t>Verificado contra el codigo</t>
        </is>
      </c>
    </row>
    <row r="22" ht="15" customHeight="1" s="71">
      <c r="A22" s="102" t="inlineStr">
        <is>
          <t>TRZ-019</t>
        </is>
      </c>
      <c r="B22" s="103" t="inlineStr">
        <is>
          <t>1.5</t>
        </is>
      </c>
      <c r="C22" s="103" t="inlineStr">
        <is>
          <t>Clientes</t>
        </is>
      </c>
      <c r="D22" s="103" t="inlineStr">
        <is>
          <t>RF</t>
        </is>
      </c>
      <c r="E22" s="103" t="inlineStr">
        <is>
          <t>Alta</t>
        </is>
      </c>
      <c r="F22" s="103" t="inlineStr">
        <is>
          <t>PRO-01</t>
        </is>
      </c>
      <c r="G22" s="103" t="inlineStr">
        <is>
          <t>OBJ-01</t>
        </is>
      </c>
      <c r="H22" s="103" t="inlineStr">
        <is>
          <t>STK-02</t>
        </is>
      </c>
      <c r="I22" s="103" t="inlineStr">
        <is>
          <t>ALC-03</t>
        </is>
      </c>
      <c r="J22" s="103" t="inlineStr">
        <is>
          <t>RF-019</t>
        </is>
      </c>
      <c r="K22" s="103" t="inlineStr">
        <is>
          <t>Consulta del propio perfil</t>
        </is>
      </c>
      <c r="L22" s="103" t="inlineStr">
        <is>
          <t>—</t>
        </is>
      </c>
      <c r="M22" s="103" t="inlineStr">
        <is>
          <t>HU-019</t>
        </is>
      </c>
      <c r="N22" s="103" t="inlineStr">
        <is>
          <t>—</t>
        </is>
      </c>
      <c r="O22" s="103" t="inlineStr">
        <is>
          <t>UI-009</t>
        </is>
      </c>
      <c r="P22" s="103" t="inlineStr">
        <is>
          <t>cliente.controller, cliente.service</t>
        </is>
      </c>
      <c r="Q22" s="103" t="inlineStr">
        <is>
          <t>clientes</t>
        </is>
      </c>
      <c r="R22" s="103" t="inlineStr">
        <is>
          <t>GET /api/clientes/me</t>
        </is>
      </c>
      <c r="S22" s="103" t="inlineStr">
        <is>
          <t>CP-019</t>
        </is>
      </c>
      <c r="T22" s="103" t="inlineStr">
        <is>
          <t>Manual</t>
        </is>
      </c>
      <c r="U22" s="103" t="inlineStr">
        <is>
          <t>Aprobado</t>
        </is>
      </c>
      <c r="V22" s="103" t="inlineStr">
        <is>
          <t>EV-019</t>
        </is>
      </c>
      <c r="W22" s="103" t="inlineStr">
        <is>
          <t>Plan de Calidad, seccion de clases de prueba</t>
        </is>
      </c>
      <c r="X22" s="103" t="inlineStr">
        <is>
          <t>Juan Carlos Quintero Romero</t>
        </is>
      </c>
      <c r="Y22" s="103" t="inlineStr">
        <is>
          <t>Harryson [apellidos por completar]</t>
        </is>
      </c>
      <c r="Z22" s="103" t="inlineStr">
        <is>
          <t>Aprobado</t>
        </is>
      </c>
      <c r="AA22" s="103" t="inlineStr">
        <is>
          <t>Implementado</t>
        </is>
      </c>
      <c r="AB22" s="103" t="inlineStr">
        <is>
          <t>Aprobado</t>
        </is>
      </c>
      <c r="AC22" s="103" t="inlineStr">
        <is>
          <t>Disponible</t>
        </is>
      </c>
      <c r="AD22" s="103">
        <f>IF(AND(AA22="Implementado",AB22="Aprobado",AC22="Disponible"),"Completa",IF(COUNTA(AA22:AC22)=0,"Sin iniciar","Parcial"))</f>
        <v/>
      </c>
      <c r="AE22" s="104" t="inlineStr">
        <is>
          <t>Verificado contra el codigo</t>
        </is>
      </c>
    </row>
    <row r="23" ht="15" customHeight="1" s="71">
      <c r="A23" s="102" t="inlineStr">
        <is>
          <t>TRZ-020</t>
        </is>
      </c>
      <c r="B23" s="103" t="inlineStr">
        <is>
          <t>1.5</t>
        </is>
      </c>
      <c r="C23" s="103" t="inlineStr">
        <is>
          <t>Motocicletas</t>
        </is>
      </c>
      <c r="D23" s="103" t="inlineStr">
        <is>
          <t>RF</t>
        </is>
      </c>
      <c r="E23" s="103" t="inlineStr">
        <is>
          <t>Alta</t>
        </is>
      </c>
      <c r="F23" s="103" t="inlineStr">
        <is>
          <t>PRO-01</t>
        </is>
      </c>
      <c r="G23" s="103" t="inlineStr">
        <is>
          <t>OBJ-01</t>
        </is>
      </c>
      <c r="H23" s="103" t="inlineStr">
        <is>
          <t>STK-02</t>
        </is>
      </c>
      <c r="I23" s="103" t="inlineStr">
        <is>
          <t>ALC-04</t>
        </is>
      </c>
      <c r="J23" s="103" t="inlineStr">
        <is>
          <t>RF-020</t>
        </is>
      </c>
      <c r="K23" s="103" t="inlineStr">
        <is>
          <t>Registro de motocicleta</t>
        </is>
      </c>
      <c r="L23" s="103" t="inlineStr">
        <is>
          <t>RN-011</t>
        </is>
      </c>
      <c r="M23" s="103" t="inlineStr">
        <is>
          <t>HU-020</t>
        </is>
      </c>
      <c r="N23" s="103" t="inlineStr">
        <is>
          <t>—</t>
        </is>
      </c>
      <c r="O23" s="103" t="inlineStr">
        <is>
          <t>UI-010</t>
        </is>
      </c>
      <c r="P23" s="103" t="inlineStr">
        <is>
          <t>motocicleta.controller, motocicleta.service</t>
        </is>
      </c>
      <c r="Q23" s="103" t="inlineStr">
        <is>
          <t>motocicletas</t>
        </is>
      </c>
      <c r="R23" s="103" t="inlineStr">
        <is>
          <t>POST /api/motocicletas</t>
        </is>
      </c>
      <c r="S23" s="103" t="inlineStr">
        <is>
          <t>CP-020</t>
        </is>
      </c>
      <c r="T23" s="103" t="inlineStr">
        <is>
          <t>Manual</t>
        </is>
      </c>
      <c r="U23" s="103" t="inlineStr">
        <is>
          <t>Aprobado</t>
        </is>
      </c>
      <c r="V23" s="103" t="inlineStr">
        <is>
          <t>EV-020</t>
        </is>
      </c>
      <c r="W23" s="103" t="inlineStr">
        <is>
          <t>Plan de Calidad, seccion de clases de prueba</t>
        </is>
      </c>
      <c r="X23" s="103" t="inlineStr">
        <is>
          <t>Juan Carlos Quintero Romero</t>
        </is>
      </c>
      <c r="Y23" s="103" t="inlineStr">
        <is>
          <t>Harryson [apellidos por completar]</t>
        </is>
      </c>
      <c r="Z23" s="103" t="inlineStr">
        <is>
          <t>Aprobado</t>
        </is>
      </c>
      <c r="AA23" s="103" t="inlineStr">
        <is>
          <t>Implementado</t>
        </is>
      </c>
      <c r="AB23" s="103" t="inlineStr">
        <is>
          <t>Aprobado</t>
        </is>
      </c>
      <c r="AC23" s="103" t="inlineStr">
        <is>
          <t>Disponible</t>
        </is>
      </c>
      <c r="AD23" s="103">
        <f>IF(AND(AA23="Implementado",AB23="Aprobado",AC23="Disponible"),"Completa",IF(COUNTA(AA23:AC23)=0,"Sin iniciar","Parcial"))</f>
        <v/>
      </c>
      <c r="AE23" s="104" t="inlineStr">
        <is>
          <t>Verificado contra el codigo</t>
        </is>
      </c>
    </row>
    <row r="24" ht="15" customHeight="1" s="71">
      <c r="A24" s="102" t="inlineStr">
        <is>
          <t>TRZ-021</t>
        </is>
      </c>
      <c r="B24" s="103" t="inlineStr">
        <is>
          <t>1.5</t>
        </is>
      </c>
      <c r="C24" s="103" t="inlineStr">
        <is>
          <t>Motocicletas</t>
        </is>
      </c>
      <c r="D24" s="103" t="inlineStr">
        <is>
          <t>RF</t>
        </is>
      </c>
      <c r="E24" s="103" t="inlineStr">
        <is>
          <t>Media</t>
        </is>
      </c>
      <c r="F24" s="103" t="inlineStr">
        <is>
          <t>PRO-01</t>
        </is>
      </c>
      <c r="G24" s="103" t="inlineStr">
        <is>
          <t>OBJ-01</t>
        </is>
      </c>
      <c r="H24" s="103" t="inlineStr">
        <is>
          <t>STK-02</t>
        </is>
      </c>
      <c r="I24" s="103" t="inlineStr">
        <is>
          <t>ALC-04</t>
        </is>
      </c>
      <c r="J24" s="103" t="inlineStr">
        <is>
          <t>RF-021</t>
        </is>
      </c>
      <c r="K24" s="103" t="inlineStr">
        <is>
          <t>Listado de motocicletas</t>
        </is>
      </c>
      <c r="L24" s="103" t="inlineStr">
        <is>
          <t>—</t>
        </is>
      </c>
      <c r="M24" s="103" t="inlineStr">
        <is>
          <t>HU-021</t>
        </is>
      </c>
      <c r="N24" s="103" t="inlineStr">
        <is>
          <t>—</t>
        </is>
      </c>
      <c r="O24" s="103" t="inlineStr">
        <is>
          <t>UI-010</t>
        </is>
      </c>
      <c r="P24" s="103" t="inlineStr">
        <is>
          <t>motocicleta.controller, motocicleta.service</t>
        </is>
      </c>
      <c r="Q24" s="103" t="inlineStr">
        <is>
          <t>motocicletas</t>
        </is>
      </c>
      <c r="R24" s="103" t="inlineStr">
        <is>
          <t>GET /api/motocicletas</t>
        </is>
      </c>
      <c r="S24" s="103" t="inlineStr">
        <is>
          <t>CP-021</t>
        </is>
      </c>
      <c r="T24" s="103" t="inlineStr">
        <is>
          <t>Manual</t>
        </is>
      </c>
      <c r="U24" s="103" t="inlineStr">
        <is>
          <t>Aprobado</t>
        </is>
      </c>
      <c r="V24" s="103" t="inlineStr">
        <is>
          <t>EV-021</t>
        </is>
      </c>
      <c r="W24" s="103" t="inlineStr">
        <is>
          <t>Plan de Calidad, seccion de clases de prueba</t>
        </is>
      </c>
      <c r="X24" s="103" t="inlineStr">
        <is>
          <t>Juan Carlos Quintero Romero</t>
        </is>
      </c>
      <c r="Y24" s="103" t="inlineStr">
        <is>
          <t>Harryson [apellidos por completar]</t>
        </is>
      </c>
      <c r="Z24" s="103" t="inlineStr">
        <is>
          <t>Aprobado</t>
        </is>
      </c>
      <c r="AA24" s="103" t="inlineStr">
        <is>
          <t>Implementado</t>
        </is>
      </c>
      <c r="AB24" s="103" t="inlineStr">
        <is>
          <t>Aprobado</t>
        </is>
      </c>
      <c r="AC24" s="103" t="inlineStr">
        <is>
          <t>Disponible</t>
        </is>
      </c>
      <c r="AD24" s="103">
        <f>IF(AND(AA24="Implementado",AB24="Aprobado",AC24="Disponible"),"Completa",IF(COUNTA(AA24:AC24)=0,"Sin iniciar","Parcial"))</f>
        <v/>
      </c>
      <c r="AE24" s="104" t="inlineStr">
        <is>
          <t>Verificado contra el codigo</t>
        </is>
      </c>
    </row>
    <row r="25" ht="15" customHeight="1" s="71">
      <c r="A25" s="102" t="inlineStr">
        <is>
          <t>TRZ-022</t>
        </is>
      </c>
      <c r="B25" s="103" t="inlineStr">
        <is>
          <t>1.5</t>
        </is>
      </c>
      <c r="C25" s="103" t="inlineStr">
        <is>
          <t>Motocicletas</t>
        </is>
      </c>
      <c r="D25" s="103" t="inlineStr">
        <is>
          <t>RF</t>
        </is>
      </c>
      <c r="E25" s="103" t="inlineStr">
        <is>
          <t>Media</t>
        </is>
      </c>
      <c r="F25" s="103" t="inlineStr">
        <is>
          <t>PRO-01</t>
        </is>
      </c>
      <c r="G25" s="103" t="inlineStr">
        <is>
          <t>OBJ-01</t>
        </is>
      </c>
      <c r="H25" s="103" t="inlineStr">
        <is>
          <t>STK-02</t>
        </is>
      </c>
      <c r="I25" s="103" t="inlineStr">
        <is>
          <t>ALC-04</t>
        </is>
      </c>
      <c r="J25" s="103" t="inlineStr">
        <is>
          <t>RF-022</t>
        </is>
      </c>
      <c r="K25" s="103" t="inlineStr">
        <is>
          <t>Consulta de motocicleta</t>
        </is>
      </c>
      <c r="L25" s="103" t="inlineStr">
        <is>
          <t>—</t>
        </is>
      </c>
      <c r="M25" s="103" t="inlineStr">
        <is>
          <t>HU-022</t>
        </is>
      </c>
      <c r="N25" s="103" t="inlineStr">
        <is>
          <t>—</t>
        </is>
      </c>
      <c r="O25" s="103" t="inlineStr">
        <is>
          <t>UI-010</t>
        </is>
      </c>
      <c r="P25" s="103" t="inlineStr">
        <is>
          <t>motocicleta.controller, motocicleta.service</t>
        </is>
      </c>
      <c r="Q25" s="103" t="inlineStr">
        <is>
          <t>motocicletas</t>
        </is>
      </c>
      <c r="R25" s="103" t="inlineStr">
        <is>
          <t>GET /api/motocicletas/:id</t>
        </is>
      </c>
      <c r="S25" s="103" t="inlineStr">
        <is>
          <t>CP-022</t>
        </is>
      </c>
      <c r="T25" s="103" t="inlineStr">
        <is>
          <t>Manual</t>
        </is>
      </c>
      <c r="U25" s="103" t="inlineStr">
        <is>
          <t>Aprobado</t>
        </is>
      </c>
      <c r="V25" s="103" t="inlineStr">
        <is>
          <t>EV-022</t>
        </is>
      </c>
      <c r="W25" s="103" t="inlineStr">
        <is>
          <t>Plan de Calidad, seccion de clases de prueba</t>
        </is>
      </c>
      <c r="X25" s="103" t="inlineStr">
        <is>
          <t>Juan Carlos Quintero Romero</t>
        </is>
      </c>
      <c r="Y25" s="103" t="inlineStr">
        <is>
          <t>Harryson [apellidos por completar]</t>
        </is>
      </c>
      <c r="Z25" s="103" t="inlineStr">
        <is>
          <t>Aprobado</t>
        </is>
      </c>
      <c r="AA25" s="103" t="inlineStr">
        <is>
          <t>Implementado</t>
        </is>
      </c>
      <c r="AB25" s="103" t="inlineStr">
        <is>
          <t>Aprobado</t>
        </is>
      </c>
      <c r="AC25" s="103" t="inlineStr">
        <is>
          <t>Disponible</t>
        </is>
      </c>
      <c r="AD25" s="103">
        <f>IF(AND(AA25="Implementado",AB25="Aprobado",AC25="Disponible"),"Completa",IF(COUNTA(AA25:AC25)=0,"Sin iniciar","Parcial"))</f>
        <v/>
      </c>
      <c r="AE25" s="104" t="inlineStr">
        <is>
          <t>Verificado contra el codigo</t>
        </is>
      </c>
    </row>
    <row r="26" ht="15" customHeight="1" s="71">
      <c r="A26" s="102" t="inlineStr">
        <is>
          <t>TRZ-023</t>
        </is>
      </c>
      <c r="B26" s="103" t="inlineStr">
        <is>
          <t>1.5</t>
        </is>
      </c>
      <c r="C26" s="103" t="inlineStr">
        <is>
          <t>Motocicletas</t>
        </is>
      </c>
      <c r="D26" s="103" t="inlineStr">
        <is>
          <t>RF</t>
        </is>
      </c>
      <c r="E26" s="103" t="inlineStr">
        <is>
          <t>Media</t>
        </is>
      </c>
      <c r="F26" s="103" t="inlineStr">
        <is>
          <t>PRO-01</t>
        </is>
      </c>
      <c r="G26" s="103" t="inlineStr">
        <is>
          <t>OBJ-01</t>
        </is>
      </c>
      <c r="H26" s="103" t="inlineStr">
        <is>
          <t>STK-02</t>
        </is>
      </c>
      <c r="I26" s="103" t="inlineStr">
        <is>
          <t>ALC-04</t>
        </is>
      </c>
      <c r="J26" s="103" t="inlineStr">
        <is>
          <t>RF-023</t>
        </is>
      </c>
      <c r="K26" s="103" t="inlineStr">
        <is>
          <t>Listado de motocicletas por cliente</t>
        </is>
      </c>
      <c r="L26" s="103" t="inlineStr">
        <is>
          <t>—</t>
        </is>
      </c>
      <c r="M26" s="103" t="inlineStr">
        <is>
          <t>HU-023</t>
        </is>
      </c>
      <c r="N26" s="103" t="inlineStr">
        <is>
          <t>—</t>
        </is>
      </c>
      <c r="O26" s="103" t="inlineStr">
        <is>
          <t>UI-010</t>
        </is>
      </c>
      <c r="P26" s="103" t="inlineStr">
        <is>
          <t>motocicleta.controller, motocicleta.service</t>
        </is>
      </c>
      <c r="Q26" s="103" t="inlineStr">
        <is>
          <t>motocicletas</t>
        </is>
      </c>
      <c r="R26" s="103" t="inlineStr">
        <is>
          <t>GET /api/motocicletas/cliente/:clienteId</t>
        </is>
      </c>
      <c r="S26" s="103" t="inlineStr">
        <is>
          <t>CP-023</t>
        </is>
      </c>
      <c r="T26" s="103" t="inlineStr">
        <is>
          <t>Manual</t>
        </is>
      </c>
      <c r="U26" s="103" t="inlineStr">
        <is>
          <t>Aprobado</t>
        </is>
      </c>
      <c r="V26" s="103" t="inlineStr">
        <is>
          <t>EV-023</t>
        </is>
      </c>
      <c r="W26" s="103" t="inlineStr">
        <is>
          <t>Plan de Calidad, seccion de clases de prueba</t>
        </is>
      </c>
      <c r="X26" s="103" t="inlineStr">
        <is>
          <t>Juan Carlos Quintero Romero</t>
        </is>
      </c>
      <c r="Y26" s="103" t="inlineStr">
        <is>
          <t>Harryson [apellidos por completar]</t>
        </is>
      </c>
      <c r="Z26" s="103" t="inlineStr">
        <is>
          <t>Aprobado</t>
        </is>
      </c>
      <c r="AA26" s="103" t="inlineStr">
        <is>
          <t>Implementado</t>
        </is>
      </c>
      <c r="AB26" s="103" t="inlineStr">
        <is>
          <t>Aprobado</t>
        </is>
      </c>
      <c r="AC26" s="103" t="inlineStr">
        <is>
          <t>Disponible</t>
        </is>
      </c>
      <c r="AD26" s="103">
        <f>IF(AND(AA26="Implementado",AB26="Aprobado",AC26="Disponible"),"Completa",IF(COUNTA(AA26:AC26)=0,"Sin iniciar","Parcial"))</f>
        <v/>
      </c>
      <c r="AE26" s="104" t="inlineStr">
        <is>
          <t>Verificado contra el codigo</t>
        </is>
      </c>
    </row>
    <row r="27" ht="15" customHeight="1" s="71">
      <c r="A27" s="102" t="inlineStr">
        <is>
          <t>TRZ-024</t>
        </is>
      </c>
      <c r="B27" s="103" t="inlineStr">
        <is>
          <t>1.5</t>
        </is>
      </c>
      <c r="C27" s="103" t="inlineStr">
        <is>
          <t>Motocicletas</t>
        </is>
      </c>
      <c r="D27" s="103" t="inlineStr">
        <is>
          <t>RF</t>
        </is>
      </c>
      <c r="E27" s="103" t="inlineStr">
        <is>
          <t>Baja</t>
        </is>
      </c>
      <c r="F27" s="103" t="inlineStr">
        <is>
          <t>PRO-01</t>
        </is>
      </c>
      <c r="G27" s="103" t="inlineStr">
        <is>
          <t>OBJ-01</t>
        </is>
      </c>
      <c r="H27" s="103" t="inlineStr">
        <is>
          <t>STK-02</t>
        </is>
      </c>
      <c r="I27" s="103" t="inlineStr">
        <is>
          <t>ALC-04</t>
        </is>
      </c>
      <c r="J27" s="103" t="inlineStr">
        <is>
          <t>RF-024</t>
        </is>
      </c>
      <c r="K27" s="103" t="inlineStr">
        <is>
          <t>Actualización de motocicleta</t>
        </is>
      </c>
      <c r="L27" s="103" t="inlineStr">
        <is>
          <t>—</t>
        </is>
      </c>
      <c r="M27" s="103" t="inlineStr">
        <is>
          <t>HU-024</t>
        </is>
      </c>
      <c r="N27" s="103" t="inlineStr">
        <is>
          <t>—</t>
        </is>
      </c>
      <c r="O27" s="103" t="inlineStr">
        <is>
          <t>UI-010</t>
        </is>
      </c>
      <c r="P27" s="103" t="inlineStr">
        <is>
          <t>motocicleta.controller, motocicleta.service</t>
        </is>
      </c>
      <c r="Q27" s="103" t="inlineStr">
        <is>
          <t>motocicletas</t>
        </is>
      </c>
      <c r="R27" s="103" t="inlineStr">
        <is>
          <t>PUT /api/motocicletas/:id</t>
        </is>
      </c>
      <c r="S27" s="103" t="inlineStr">
        <is>
          <t>CP-024</t>
        </is>
      </c>
      <c r="T27" s="103" t="inlineStr">
        <is>
          <t>Manual</t>
        </is>
      </c>
      <c r="U27" s="103" t="inlineStr">
        <is>
          <t>Aprobado</t>
        </is>
      </c>
      <c r="V27" s="103" t="inlineStr">
        <is>
          <t>EV-024</t>
        </is>
      </c>
      <c r="W27" s="103" t="inlineStr">
        <is>
          <t>Plan de Calidad, seccion de clases de prueba</t>
        </is>
      </c>
      <c r="X27" s="103" t="inlineStr">
        <is>
          <t>Juan Carlos Quintero Romero</t>
        </is>
      </c>
      <c r="Y27" s="103" t="inlineStr">
        <is>
          <t>Harryson [apellidos por completar]</t>
        </is>
      </c>
      <c r="Z27" s="103" t="inlineStr">
        <is>
          <t>Aprobado</t>
        </is>
      </c>
      <c r="AA27" s="103" t="inlineStr">
        <is>
          <t>Implementado</t>
        </is>
      </c>
      <c r="AB27" s="103" t="inlineStr">
        <is>
          <t>Aprobado</t>
        </is>
      </c>
      <c r="AC27" s="103" t="inlineStr">
        <is>
          <t>Disponible</t>
        </is>
      </c>
      <c r="AD27" s="103">
        <f>IF(AND(AA27="Implementado",AB27="Aprobado",AC27="Disponible"),"Completa",IF(COUNTA(AA27:AC27)=0,"Sin iniciar","Parcial"))</f>
        <v/>
      </c>
      <c r="AE27" s="104" t="inlineStr">
        <is>
          <t>Verificado contra el codigo</t>
        </is>
      </c>
    </row>
    <row r="28" ht="15" customHeight="1" s="71">
      <c r="A28" s="102" t="inlineStr">
        <is>
          <t>TRZ-025</t>
        </is>
      </c>
      <c r="B28" s="103" t="inlineStr">
        <is>
          <t>1.5</t>
        </is>
      </c>
      <c r="C28" s="103" t="inlineStr">
        <is>
          <t>Motocicletas</t>
        </is>
      </c>
      <c r="D28" s="103" t="inlineStr">
        <is>
          <t>RF</t>
        </is>
      </c>
      <c r="E28" s="103" t="inlineStr">
        <is>
          <t>Baja</t>
        </is>
      </c>
      <c r="F28" s="103" t="inlineStr">
        <is>
          <t>PRO-01</t>
        </is>
      </c>
      <c r="G28" s="103" t="inlineStr">
        <is>
          <t>OBJ-01</t>
        </is>
      </c>
      <c r="H28" s="103" t="inlineStr">
        <is>
          <t>STK-02</t>
        </is>
      </c>
      <c r="I28" s="103" t="inlineStr">
        <is>
          <t>ALC-04</t>
        </is>
      </c>
      <c r="J28" s="103" t="inlineStr">
        <is>
          <t>RF-025</t>
        </is>
      </c>
      <c r="K28" s="103" t="inlineStr">
        <is>
          <t>Baja de motocicleta</t>
        </is>
      </c>
      <c r="L28" s="103" t="inlineStr">
        <is>
          <t>—</t>
        </is>
      </c>
      <c r="M28" s="103" t="inlineStr">
        <is>
          <t>HU-025</t>
        </is>
      </c>
      <c r="N28" s="103" t="inlineStr">
        <is>
          <t>—</t>
        </is>
      </c>
      <c r="O28" s="103" t="inlineStr">
        <is>
          <t>UI-010</t>
        </is>
      </c>
      <c r="P28" s="103" t="inlineStr">
        <is>
          <t>motocicleta.controller, motocicleta.service</t>
        </is>
      </c>
      <c r="Q28" s="103" t="inlineStr">
        <is>
          <t>motocicletas</t>
        </is>
      </c>
      <c r="R28" s="103" t="inlineStr">
        <is>
          <t>DELETE /api/motocicletas/:id</t>
        </is>
      </c>
      <c r="S28" s="103" t="inlineStr">
        <is>
          <t>CP-025</t>
        </is>
      </c>
      <c r="T28" s="103" t="inlineStr">
        <is>
          <t>Manual</t>
        </is>
      </c>
      <c r="U28" s="103" t="inlineStr">
        <is>
          <t>Aprobado</t>
        </is>
      </c>
      <c r="V28" s="103" t="inlineStr">
        <is>
          <t>EV-025</t>
        </is>
      </c>
      <c r="W28" s="103" t="inlineStr">
        <is>
          <t>Plan de Calidad, seccion de clases de prueba</t>
        </is>
      </c>
      <c r="X28" s="103" t="inlineStr">
        <is>
          <t>Juan Carlos Quintero Romero</t>
        </is>
      </c>
      <c r="Y28" s="103" t="inlineStr">
        <is>
          <t>Harryson [apellidos por completar]</t>
        </is>
      </c>
      <c r="Z28" s="103" t="inlineStr">
        <is>
          <t>Aprobado</t>
        </is>
      </c>
      <c r="AA28" s="103" t="inlineStr">
        <is>
          <t>Implementado</t>
        </is>
      </c>
      <c r="AB28" s="103" t="inlineStr">
        <is>
          <t>Aprobado</t>
        </is>
      </c>
      <c r="AC28" s="103" t="inlineStr">
        <is>
          <t>Disponible</t>
        </is>
      </c>
      <c r="AD28" s="103">
        <f>IF(AND(AA28="Implementado",AB28="Aprobado",AC28="Disponible"),"Completa",IF(COUNTA(AA28:AC28)=0,"Sin iniciar","Parcial"))</f>
        <v/>
      </c>
      <c r="AE28" s="104" t="inlineStr">
        <is>
          <t>Verificado contra el codigo</t>
        </is>
      </c>
    </row>
    <row r="29" ht="15" customHeight="1" s="71">
      <c r="A29" s="102" t="inlineStr">
        <is>
          <t>TRZ-026</t>
        </is>
      </c>
      <c r="B29" s="103" t="inlineStr">
        <is>
          <t>1.5</t>
        </is>
      </c>
      <c r="C29" s="103" t="inlineStr">
        <is>
          <t>Citas</t>
        </is>
      </c>
      <c r="D29" s="103" t="inlineStr">
        <is>
          <t>RF</t>
        </is>
      </c>
      <c r="E29" s="103" t="inlineStr">
        <is>
          <t>Alta</t>
        </is>
      </c>
      <c r="F29" s="103" t="inlineStr">
        <is>
          <t>PRO-01</t>
        </is>
      </c>
      <c r="G29" s="103" t="inlineStr">
        <is>
          <t>OBJ-01</t>
        </is>
      </c>
      <c r="H29" s="103" t="inlineStr">
        <is>
          <t>STK-02</t>
        </is>
      </c>
      <c r="I29" s="103" t="inlineStr">
        <is>
          <t>ALC-05</t>
        </is>
      </c>
      <c r="J29" s="103" t="inlineStr">
        <is>
          <t>RF-026</t>
        </is>
      </c>
      <c r="K29" s="103" t="inlineStr">
        <is>
          <t>Agendamiento de cita</t>
        </is>
      </c>
      <c r="L29" s="103" t="inlineStr">
        <is>
          <t>—</t>
        </is>
      </c>
      <c r="M29" s="103" t="inlineStr">
        <is>
          <t>HU-026</t>
        </is>
      </c>
      <c r="N29" s="103" t="inlineStr">
        <is>
          <t>—</t>
        </is>
      </c>
      <c r="O29" s="103" t="inlineStr">
        <is>
          <t>UI-011</t>
        </is>
      </c>
      <c r="P29" s="103" t="inlineStr">
        <is>
          <t>cita.controller, cita.service</t>
        </is>
      </c>
      <c r="Q29" s="103" t="inlineStr">
        <is>
          <t>citas</t>
        </is>
      </c>
      <c r="R29" s="103" t="inlineStr">
        <is>
          <t>POST /api/citas</t>
        </is>
      </c>
      <c r="S29" s="103" t="inlineStr">
        <is>
          <t>CP-026</t>
        </is>
      </c>
      <c r="T29" s="103" t="inlineStr">
        <is>
          <t>Manual</t>
        </is>
      </c>
      <c r="U29" s="103" t="inlineStr">
        <is>
          <t>Aprobado</t>
        </is>
      </c>
      <c r="V29" s="103" t="inlineStr">
        <is>
          <t>EV-026</t>
        </is>
      </c>
      <c r="W29" s="103" t="inlineStr">
        <is>
          <t>Plan de Calidad, seccion de clases de prueba</t>
        </is>
      </c>
      <c r="X29" s="103" t="inlineStr">
        <is>
          <t>Juan Carlos Quintero Romero</t>
        </is>
      </c>
      <c r="Y29" s="103" t="inlineStr">
        <is>
          <t>Harryson [apellidos por completar]</t>
        </is>
      </c>
      <c r="Z29" s="103" t="inlineStr">
        <is>
          <t>Aprobado</t>
        </is>
      </c>
      <c r="AA29" s="103" t="inlineStr">
        <is>
          <t>Implementado</t>
        </is>
      </c>
      <c r="AB29" s="103" t="inlineStr">
        <is>
          <t>Aprobado</t>
        </is>
      </c>
      <c r="AC29" s="103" t="inlineStr">
        <is>
          <t>Disponible</t>
        </is>
      </c>
      <c r="AD29" s="103">
        <f>IF(AND(AA29="Implementado",AB29="Aprobado",AC29="Disponible"),"Completa",IF(COUNTA(AA29:AC29)=0,"Sin iniciar","Parcial"))</f>
        <v/>
      </c>
      <c r="AE29" s="104" t="inlineStr">
        <is>
          <t>Verificado contra el codigo</t>
        </is>
      </c>
    </row>
    <row r="30" ht="15" customHeight="1" s="71">
      <c r="A30" s="102" t="inlineStr">
        <is>
          <t>TRZ-027</t>
        </is>
      </c>
      <c r="B30" s="103" t="inlineStr">
        <is>
          <t>1.5</t>
        </is>
      </c>
      <c r="C30" s="103" t="inlineStr">
        <is>
          <t>Citas</t>
        </is>
      </c>
      <c r="D30" s="103" t="inlineStr">
        <is>
          <t>RF</t>
        </is>
      </c>
      <c r="E30" s="103" t="inlineStr">
        <is>
          <t>Media</t>
        </is>
      </c>
      <c r="F30" s="103" t="inlineStr">
        <is>
          <t>PRO-01</t>
        </is>
      </c>
      <c r="G30" s="103" t="inlineStr">
        <is>
          <t>OBJ-01</t>
        </is>
      </c>
      <c r="H30" s="103" t="inlineStr">
        <is>
          <t>STK-02</t>
        </is>
      </c>
      <c r="I30" s="103" t="inlineStr">
        <is>
          <t>ALC-05</t>
        </is>
      </c>
      <c r="J30" s="103" t="inlineStr">
        <is>
          <t>RF-027</t>
        </is>
      </c>
      <c r="K30" s="103" t="inlineStr">
        <is>
          <t>Listado de citas</t>
        </is>
      </c>
      <c r="L30" s="103" t="inlineStr">
        <is>
          <t>—</t>
        </is>
      </c>
      <c r="M30" s="103" t="inlineStr">
        <is>
          <t>HU-027</t>
        </is>
      </c>
      <c r="N30" s="103" t="inlineStr">
        <is>
          <t>—</t>
        </is>
      </c>
      <c r="O30" s="103" t="inlineStr">
        <is>
          <t>UI-011</t>
        </is>
      </c>
      <c r="P30" s="103" t="inlineStr">
        <is>
          <t>cita.controller, cita.service</t>
        </is>
      </c>
      <c r="Q30" s="103" t="inlineStr">
        <is>
          <t>citas</t>
        </is>
      </c>
      <c r="R30" s="103" t="inlineStr">
        <is>
          <t>GET /api/citas</t>
        </is>
      </c>
      <c r="S30" s="103" t="inlineStr">
        <is>
          <t>CP-027</t>
        </is>
      </c>
      <c r="T30" s="103" t="inlineStr">
        <is>
          <t>Manual</t>
        </is>
      </c>
      <c r="U30" s="103" t="inlineStr">
        <is>
          <t>Aprobado</t>
        </is>
      </c>
      <c r="V30" s="103" t="inlineStr">
        <is>
          <t>EV-027</t>
        </is>
      </c>
      <c r="W30" s="103" t="inlineStr">
        <is>
          <t>Plan de Calidad, seccion de clases de prueba</t>
        </is>
      </c>
      <c r="X30" s="103" t="inlineStr">
        <is>
          <t>Juan Carlos Quintero Romero</t>
        </is>
      </c>
      <c r="Y30" s="103" t="inlineStr">
        <is>
          <t>Harryson [apellidos por completar]</t>
        </is>
      </c>
      <c r="Z30" s="103" t="inlineStr">
        <is>
          <t>Aprobado</t>
        </is>
      </c>
      <c r="AA30" s="103" t="inlineStr">
        <is>
          <t>Implementado</t>
        </is>
      </c>
      <c r="AB30" s="103" t="inlineStr">
        <is>
          <t>Aprobado</t>
        </is>
      </c>
      <c r="AC30" s="103" t="inlineStr">
        <is>
          <t>Disponible</t>
        </is>
      </c>
      <c r="AD30" s="103">
        <f>IF(AND(AA30="Implementado",AB30="Aprobado",AC30="Disponible"),"Completa",IF(COUNTA(AA30:AC30)=0,"Sin iniciar","Parcial"))</f>
        <v/>
      </c>
      <c r="AE30" s="104" t="inlineStr">
        <is>
          <t>Verificado contra el codigo</t>
        </is>
      </c>
    </row>
    <row r="31" ht="15" customHeight="1" s="71">
      <c r="A31" s="102" t="inlineStr">
        <is>
          <t>TRZ-028</t>
        </is>
      </c>
      <c r="B31" s="103" t="inlineStr">
        <is>
          <t>1.5</t>
        </is>
      </c>
      <c r="C31" s="103" t="inlineStr">
        <is>
          <t>Citas</t>
        </is>
      </c>
      <c r="D31" s="103" t="inlineStr">
        <is>
          <t>RF</t>
        </is>
      </c>
      <c r="E31" s="103" t="inlineStr">
        <is>
          <t>Media</t>
        </is>
      </c>
      <c r="F31" s="103" t="inlineStr">
        <is>
          <t>PRO-01</t>
        </is>
      </c>
      <c r="G31" s="103" t="inlineStr">
        <is>
          <t>OBJ-01</t>
        </is>
      </c>
      <c r="H31" s="103" t="inlineStr">
        <is>
          <t>STK-02</t>
        </is>
      </c>
      <c r="I31" s="103" t="inlineStr">
        <is>
          <t>ALC-05</t>
        </is>
      </c>
      <c r="J31" s="103" t="inlineStr">
        <is>
          <t>RF-028</t>
        </is>
      </c>
      <c r="K31" s="103" t="inlineStr">
        <is>
          <t>Consulta de cita</t>
        </is>
      </c>
      <c r="L31" s="103" t="inlineStr">
        <is>
          <t>—</t>
        </is>
      </c>
      <c r="M31" s="103" t="inlineStr">
        <is>
          <t>HU-028</t>
        </is>
      </c>
      <c r="N31" s="103" t="inlineStr">
        <is>
          <t>—</t>
        </is>
      </c>
      <c r="O31" s="103" t="inlineStr">
        <is>
          <t>UI-011</t>
        </is>
      </c>
      <c r="P31" s="103" t="inlineStr">
        <is>
          <t>cita.controller, cita.service</t>
        </is>
      </c>
      <c r="Q31" s="103" t="inlineStr">
        <is>
          <t>citas</t>
        </is>
      </c>
      <c r="R31" s="103" t="inlineStr">
        <is>
          <t>GET /api/citas/:id</t>
        </is>
      </c>
      <c r="S31" s="103" t="inlineStr">
        <is>
          <t>CP-028</t>
        </is>
      </c>
      <c r="T31" s="103" t="inlineStr">
        <is>
          <t>Manual</t>
        </is>
      </c>
      <c r="U31" s="103" t="inlineStr">
        <is>
          <t>Aprobado</t>
        </is>
      </c>
      <c r="V31" s="103" t="inlineStr">
        <is>
          <t>EV-028</t>
        </is>
      </c>
      <c r="W31" s="103" t="inlineStr">
        <is>
          <t>Plan de Calidad, seccion de clases de prueba</t>
        </is>
      </c>
      <c r="X31" s="103" t="inlineStr">
        <is>
          <t>Juan Carlos Quintero Romero</t>
        </is>
      </c>
      <c r="Y31" s="103" t="inlineStr">
        <is>
          <t>Harryson [apellidos por completar]</t>
        </is>
      </c>
      <c r="Z31" s="103" t="inlineStr">
        <is>
          <t>Aprobado</t>
        </is>
      </c>
      <c r="AA31" s="103" t="inlineStr">
        <is>
          <t>Implementado</t>
        </is>
      </c>
      <c r="AB31" s="103" t="inlineStr">
        <is>
          <t>Aprobado</t>
        </is>
      </c>
      <c r="AC31" s="103" t="inlineStr">
        <is>
          <t>Disponible</t>
        </is>
      </c>
      <c r="AD31" s="103">
        <f>IF(AND(AA31="Implementado",AB31="Aprobado",AC31="Disponible"),"Completa",IF(COUNTA(AA31:AC31)=0,"Sin iniciar","Parcial"))</f>
        <v/>
      </c>
      <c r="AE31" s="104" t="inlineStr">
        <is>
          <t>Verificado contra el codigo</t>
        </is>
      </c>
    </row>
    <row r="32" ht="15" customHeight="1" s="71">
      <c r="A32" s="102" t="inlineStr">
        <is>
          <t>TRZ-029</t>
        </is>
      </c>
      <c r="B32" s="103" t="inlineStr">
        <is>
          <t>1.5</t>
        </is>
      </c>
      <c r="C32" s="103" t="inlineStr">
        <is>
          <t>Citas</t>
        </is>
      </c>
      <c r="D32" s="103" t="inlineStr">
        <is>
          <t>RF</t>
        </is>
      </c>
      <c r="E32" s="103" t="inlineStr">
        <is>
          <t>Media</t>
        </is>
      </c>
      <c r="F32" s="103" t="inlineStr">
        <is>
          <t>PRO-01</t>
        </is>
      </c>
      <c r="G32" s="103" t="inlineStr">
        <is>
          <t>OBJ-01</t>
        </is>
      </c>
      <c r="H32" s="103" t="inlineStr">
        <is>
          <t>STK-02</t>
        </is>
      </c>
      <c r="I32" s="103" t="inlineStr">
        <is>
          <t>ALC-05</t>
        </is>
      </c>
      <c r="J32" s="103" t="inlineStr">
        <is>
          <t>RF-029</t>
        </is>
      </c>
      <c r="K32" s="103" t="inlineStr">
        <is>
          <t>Listado de citas por cliente</t>
        </is>
      </c>
      <c r="L32" s="103" t="inlineStr">
        <is>
          <t>—</t>
        </is>
      </c>
      <c r="M32" s="103" t="inlineStr">
        <is>
          <t>HU-029</t>
        </is>
      </c>
      <c r="N32" s="103" t="inlineStr">
        <is>
          <t>—</t>
        </is>
      </c>
      <c r="O32" s="103" t="inlineStr">
        <is>
          <t>UI-011</t>
        </is>
      </c>
      <c r="P32" s="103" t="inlineStr">
        <is>
          <t>cita.controller, cita.service</t>
        </is>
      </c>
      <c r="Q32" s="103" t="inlineStr">
        <is>
          <t>citas</t>
        </is>
      </c>
      <c r="R32" s="103" t="inlineStr">
        <is>
          <t>GET /api/citas/cliente/:clienteId</t>
        </is>
      </c>
      <c r="S32" s="103" t="inlineStr">
        <is>
          <t>CP-029</t>
        </is>
      </c>
      <c r="T32" s="103" t="inlineStr">
        <is>
          <t>Manual</t>
        </is>
      </c>
      <c r="U32" s="103" t="inlineStr">
        <is>
          <t>Aprobado</t>
        </is>
      </c>
      <c r="V32" s="103" t="inlineStr">
        <is>
          <t>EV-029</t>
        </is>
      </c>
      <c r="W32" s="103" t="inlineStr">
        <is>
          <t>Plan de Calidad, seccion de clases de prueba</t>
        </is>
      </c>
      <c r="X32" s="103" t="inlineStr">
        <is>
          <t>Juan Carlos Quintero Romero</t>
        </is>
      </c>
      <c r="Y32" s="103" t="inlineStr">
        <is>
          <t>Harryson [apellidos por completar]</t>
        </is>
      </c>
      <c r="Z32" s="103" t="inlineStr">
        <is>
          <t>Aprobado</t>
        </is>
      </c>
      <c r="AA32" s="103" t="inlineStr">
        <is>
          <t>Implementado</t>
        </is>
      </c>
      <c r="AB32" s="103" t="inlineStr">
        <is>
          <t>Aprobado</t>
        </is>
      </c>
      <c r="AC32" s="103" t="inlineStr">
        <is>
          <t>Disponible</t>
        </is>
      </c>
      <c r="AD32" s="103">
        <f>IF(AND(AA32="Implementado",AB32="Aprobado",AC32="Disponible"),"Completa",IF(COUNTA(AA32:AC32)=0,"Sin iniciar","Parcial"))</f>
        <v/>
      </c>
      <c r="AE32" s="104" t="inlineStr">
        <is>
          <t>Verificado contra el codigo</t>
        </is>
      </c>
    </row>
    <row r="33" ht="15" customHeight="1" s="71">
      <c r="A33" s="102" t="inlineStr">
        <is>
          <t>TRZ-030</t>
        </is>
      </c>
      <c r="B33" s="103" t="inlineStr">
        <is>
          <t>1.5</t>
        </is>
      </c>
      <c r="C33" s="103" t="inlineStr">
        <is>
          <t>Citas</t>
        </is>
      </c>
      <c r="D33" s="103" t="inlineStr">
        <is>
          <t>RF</t>
        </is>
      </c>
      <c r="E33" s="103" t="inlineStr">
        <is>
          <t>Media</t>
        </is>
      </c>
      <c r="F33" s="103" t="inlineStr">
        <is>
          <t>PRO-01</t>
        </is>
      </c>
      <c r="G33" s="103" t="inlineStr">
        <is>
          <t>OBJ-01</t>
        </is>
      </c>
      <c r="H33" s="103" t="inlineStr">
        <is>
          <t>STK-02</t>
        </is>
      </c>
      <c r="I33" s="103" t="inlineStr">
        <is>
          <t>ALC-05</t>
        </is>
      </c>
      <c r="J33" s="103" t="inlineStr">
        <is>
          <t>RF-030</t>
        </is>
      </c>
      <c r="K33" s="103" t="inlineStr">
        <is>
          <t>Cambio de estado de la cita</t>
        </is>
      </c>
      <c r="L33" s="103" t="inlineStr">
        <is>
          <t>—</t>
        </is>
      </c>
      <c r="M33" s="103" t="inlineStr">
        <is>
          <t>HU-030</t>
        </is>
      </c>
      <c r="N33" s="103" t="inlineStr">
        <is>
          <t>—</t>
        </is>
      </c>
      <c r="O33" s="103" t="inlineStr">
        <is>
          <t>UI-011</t>
        </is>
      </c>
      <c r="P33" s="103" t="inlineStr">
        <is>
          <t>cita.controller, cita.service</t>
        </is>
      </c>
      <c r="Q33" s="103" t="inlineStr">
        <is>
          <t>citas</t>
        </is>
      </c>
      <c r="R33" s="103" t="inlineStr">
        <is>
          <t>PATCH /api/citas/:id/estado</t>
        </is>
      </c>
      <c r="S33" s="103" t="inlineStr">
        <is>
          <t>CP-030</t>
        </is>
      </c>
      <c r="T33" s="103" t="inlineStr">
        <is>
          <t>Manual</t>
        </is>
      </c>
      <c r="U33" s="103" t="inlineStr">
        <is>
          <t>Aprobado</t>
        </is>
      </c>
      <c r="V33" s="103" t="inlineStr">
        <is>
          <t>EV-030</t>
        </is>
      </c>
      <c r="W33" s="103" t="inlineStr">
        <is>
          <t>Plan de Calidad, seccion de clases de prueba</t>
        </is>
      </c>
      <c r="X33" s="103" t="inlineStr">
        <is>
          <t>Juan Carlos Quintero Romero</t>
        </is>
      </c>
      <c r="Y33" s="103" t="inlineStr">
        <is>
          <t>Harryson [apellidos por completar]</t>
        </is>
      </c>
      <c r="Z33" s="103" t="inlineStr">
        <is>
          <t>Aprobado</t>
        </is>
      </c>
      <c r="AA33" s="103" t="inlineStr">
        <is>
          <t>Implementado</t>
        </is>
      </c>
      <c r="AB33" s="103" t="inlineStr">
        <is>
          <t>Aprobado</t>
        </is>
      </c>
      <c r="AC33" s="103" t="inlineStr">
        <is>
          <t>Disponible</t>
        </is>
      </c>
      <c r="AD33" s="103">
        <f>IF(AND(AA33="Implementado",AB33="Aprobado",AC33="Disponible"),"Completa",IF(COUNTA(AA33:AC33)=0,"Sin iniciar","Parcial"))</f>
        <v/>
      </c>
      <c r="AE33" s="104" t="inlineStr">
        <is>
          <t>Verificado contra el codigo</t>
        </is>
      </c>
    </row>
    <row r="34" ht="15" customHeight="1" s="71">
      <c r="A34" s="102" t="inlineStr">
        <is>
          <t>TRZ-031</t>
        </is>
      </c>
      <c r="B34" s="103" t="inlineStr">
        <is>
          <t>1.5</t>
        </is>
      </c>
      <c r="C34" s="103" t="inlineStr">
        <is>
          <t>Citas</t>
        </is>
      </c>
      <c r="D34" s="103" t="inlineStr">
        <is>
          <t>RF</t>
        </is>
      </c>
      <c r="E34" s="103" t="inlineStr">
        <is>
          <t>Media</t>
        </is>
      </c>
      <c r="F34" s="103" t="inlineStr">
        <is>
          <t>PRO-01</t>
        </is>
      </c>
      <c r="G34" s="103" t="inlineStr">
        <is>
          <t>OBJ-01</t>
        </is>
      </c>
      <c r="H34" s="103" t="inlineStr">
        <is>
          <t>STK-02</t>
        </is>
      </c>
      <c r="I34" s="103" t="inlineStr">
        <is>
          <t>ALC-05</t>
        </is>
      </c>
      <c r="J34" s="103" t="inlineStr">
        <is>
          <t>RF-031</t>
        </is>
      </c>
      <c r="K34" s="103" t="inlineStr">
        <is>
          <t>Reprogramación de cita</t>
        </is>
      </c>
      <c r="L34" s="103" t="inlineStr">
        <is>
          <t>—</t>
        </is>
      </c>
      <c r="M34" s="103" t="inlineStr">
        <is>
          <t>HU-031</t>
        </is>
      </c>
      <c r="N34" s="103" t="inlineStr">
        <is>
          <t>—</t>
        </is>
      </c>
      <c r="O34" s="103" t="inlineStr">
        <is>
          <t>UI-011</t>
        </is>
      </c>
      <c r="P34" s="103" t="inlineStr">
        <is>
          <t>cita.controller, cita.service</t>
        </is>
      </c>
      <c r="Q34" s="103" t="inlineStr">
        <is>
          <t>citas</t>
        </is>
      </c>
      <c r="R34" s="103" t="inlineStr">
        <is>
          <t>PUT /api/citas/:id</t>
        </is>
      </c>
      <c r="S34" s="103" t="inlineStr">
        <is>
          <t>CP-031</t>
        </is>
      </c>
      <c r="T34" s="103" t="inlineStr">
        <is>
          <t>Manual</t>
        </is>
      </c>
      <c r="U34" s="103" t="inlineStr">
        <is>
          <t>Aprobado</t>
        </is>
      </c>
      <c r="V34" s="103" t="inlineStr">
        <is>
          <t>EV-031</t>
        </is>
      </c>
      <c r="W34" s="103" t="inlineStr">
        <is>
          <t>Plan de Calidad, seccion de clases de prueba</t>
        </is>
      </c>
      <c r="X34" s="103" t="inlineStr">
        <is>
          <t>Juan Carlos Quintero Romero</t>
        </is>
      </c>
      <c r="Y34" s="103" t="inlineStr">
        <is>
          <t>Harryson [apellidos por completar]</t>
        </is>
      </c>
      <c r="Z34" s="103" t="inlineStr">
        <is>
          <t>Aprobado</t>
        </is>
      </c>
      <c r="AA34" s="103" t="inlineStr">
        <is>
          <t>Implementado</t>
        </is>
      </c>
      <c r="AB34" s="103" t="inlineStr">
        <is>
          <t>Aprobado</t>
        </is>
      </c>
      <c r="AC34" s="103" t="inlineStr">
        <is>
          <t>Disponible</t>
        </is>
      </c>
      <c r="AD34" s="103">
        <f>IF(AND(AA34="Implementado",AB34="Aprobado",AC34="Disponible"),"Completa",IF(COUNTA(AA34:AC34)=0,"Sin iniciar","Parcial"))</f>
        <v/>
      </c>
      <c r="AE34" s="104" t="inlineStr">
        <is>
          <t>Verificado contra el codigo</t>
        </is>
      </c>
    </row>
    <row r="35" ht="15" customHeight="1" s="71">
      <c r="A35" s="102" t="inlineStr">
        <is>
          <t>TRZ-032</t>
        </is>
      </c>
      <c r="B35" s="103" t="inlineStr">
        <is>
          <t>1.5</t>
        </is>
      </c>
      <c r="C35" s="103" t="inlineStr">
        <is>
          <t>Citas</t>
        </is>
      </c>
      <c r="D35" s="103" t="inlineStr">
        <is>
          <t>RF</t>
        </is>
      </c>
      <c r="E35" s="103" t="inlineStr">
        <is>
          <t>Baja</t>
        </is>
      </c>
      <c r="F35" s="103" t="inlineStr">
        <is>
          <t>PRO-01</t>
        </is>
      </c>
      <c r="G35" s="103" t="inlineStr">
        <is>
          <t>OBJ-01</t>
        </is>
      </c>
      <c r="H35" s="103" t="inlineStr">
        <is>
          <t>STK-02</t>
        </is>
      </c>
      <c r="I35" s="103" t="inlineStr">
        <is>
          <t>ALC-05</t>
        </is>
      </c>
      <c r="J35" s="103" t="inlineStr">
        <is>
          <t>RF-032</t>
        </is>
      </c>
      <c r="K35" s="103" t="inlineStr">
        <is>
          <t>Cancelación de cita</t>
        </is>
      </c>
      <c r="L35" s="103" t="inlineStr">
        <is>
          <t>—</t>
        </is>
      </c>
      <c r="M35" s="103" t="inlineStr">
        <is>
          <t>HU-032</t>
        </is>
      </c>
      <c r="N35" s="103" t="inlineStr">
        <is>
          <t>—</t>
        </is>
      </c>
      <c r="O35" s="103" t="inlineStr">
        <is>
          <t>UI-011</t>
        </is>
      </c>
      <c r="P35" s="103" t="inlineStr">
        <is>
          <t>cita.controller, cita.service</t>
        </is>
      </c>
      <c r="Q35" s="103" t="inlineStr">
        <is>
          <t>citas</t>
        </is>
      </c>
      <c r="R35" s="103" t="inlineStr">
        <is>
          <t>DELETE /api/citas/:id</t>
        </is>
      </c>
      <c r="S35" s="103" t="inlineStr">
        <is>
          <t>CP-032</t>
        </is>
      </c>
      <c r="T35" s="103" t="inlineStr">
        <is>
          <t>Manual</t>
        </is>
      </c>
      <c r="U35" s="103" t="inlineStr">
        <is>
          <t>Aprobado</t>
        </is>
      </c>
      <c r="V35" s="103" t="inlineStr">
        <is>
          <t>EV-032</t>
        </is>
      </c>
      <c r="W35" s="103" t="inlineStr">
        <is>
          <t>Plan de Calidad, seccion de clases de prueba</t>
        </is>
      </c>
      <c r="X35" s="103" t="inlineStr">
        <is>
          <t>Juan Carlos Quintero Romero</t>
        </is>
      </c>
      <c r="Y35" s="103" t="inlineStr">
        <is>
          <t>Harryson [apellidos por completar]</t>
        </is>
      </c>
      <c r="Z35" s="103" t="inlineStr">
        <is>
          <t>Aprobado</t>
        </is>
      </c>
      <c r="AA35" s="103" t="inlineStr">
        <is>
          <t>Implementado</t>
        </is>
      </c>
      <c r="AB35" s="103" t="inlineStr">
        <is>
          <t>Aprobado</t>
        </is>
      </c>
      <c r="AC35" s="103" t="inlineStr">
        <is>
          <t>Disponible</t>
        </is>
      </c>
      <c r="AD35" s="103">
        <f>IF(AND(AA35="Implementado",AB35="Aprobado",AC35="Disponible"),"Completa",IF(COUNTA(AA35:AC35)=0,"Sin iniciar","Parcial"))</f>
        <v/>
      </c>
      <c r="AE35" s="104" t="inlineStr">
        <is>
          <t>Verificado contra el codigo</t>
        </is>
      </c>
    </row>
    <row r="36" ht="15" customHeight="1" s="71">
      <c r="A36" s="102" t="inlineStr">
        <is>
          <t>TRZ-033</t>
        </is>
      </c>
      <c r="B36" s="103" t="inlineStr">
        <is>
          <t>1.5</t>
        </is>
      </c>
      <c r="C36" s="103" t="inlineStr">
        <is>
          <t>Órdenes de trabajo</t>
        </is>
      </c>
      <c r="D36" s="103" t="inlineStr">
        <is>
          <t>RF</t>
        </is>
      </c>
      <c r="E36" s="103" t="inlineStr">
        <is>
          <t>Alta</t>
        </is>
      </c>
      <c r="F36" s="103" t="inlineStr">
        <is>
          <t>PRO-01</t>
        </is>
      </c>
      <c r="G36" s="103" t="inlineStr">
        <is>
          <t>OBJ-01</t>
        </is>
      </c>
      <c r="H36" s="103" t="inlineStr">
        <is>
          <t>STK-02</t>
        </is>
      </c>
      <c r="I36" s="103" t="inlineStr">
        <is>
          <t>ALC-06</t>
        </is>
      </c>
      <c r="J36" s="103" t="inlineStr">
        <is>
          <t>RF-033</t>
        </is>
      </c>
      <c r="K36" s="103" t="inlineStr">
        <is>
          <t>Apertura de orden de trabajo</t>
        </is>
      </c>
      <c r="L36" s="103" t="inlineStr">
        <is>
          <t>RN-012, RN-013, RN-014</t>
        </is>
      </c>
      <c r="M36" s="103" t="inlineStr">
        <is>
          <t>HU-033</t>
        </is>
      </c>
      <c r="N36" s="103" t="inlineStr">
        <is>
          <t>CU-01, CU-02</t>
        </is>
      </c>
      <c r="O36" s="103" t="inlineStr">
        <is>
          <t>UI-007</t>
        </is>
      </c>
      <c r="P36" s="103" t="inlineStr">
        <is>
          <t>ordenTrabajo.controller, ordenTrabajo.service</t>
        </is>
      </c>
      <c r="Q36" s="103" t="inlineStr">
        <is>
          <t>ordenes_trabajo</t>
        </is>
      </c>
      <c r="R36" s="103" t="inlineStr">
        <is>
          <t>POST /api/ordenes</t>
        </is>
      </c>
      <c r="S36" s="103" t="inlineStr">
        <is>
          <t>CP-033</t>
        </is>
      </c>
      <c r="T36" s="103" t="inlineStr">
        <is>
          <t>Manual</t>
        </is>
      </c>
      <c r="U36" s="103" t="inlineStr">
        <is>
          <t>Aprobado</t>
        </is>
      </c>
      <c r="V36" s="103" t="inlineStr">
        <is>
          <t>EV-033</t>
        </is>
      </c>
      <c r="W36" s="103" t="inlineStr">
        <is>
          <t>Plan de Calidad, seccion de clases de prueba</t>
        </is>
      </c>
      <c r="X36" s="103" t="inlineStr">
        <is>
          <t>Juan Carlos Quintero Romero</t>
        </is>
      </c>
      <c r="Y36" s="103" t="inlineStr">
        <is>
          <t>Harryson [apellidos por completar]</t>
        </is>
      </c>
      <c r="Z36" s="103" t="inlineStr">
        <is>
          <t>Aprobado</t>
        </is>
      </c>
      <c r="AA36" s="103" t="inlineStr">
        <is>
          <t>Implementado</t>
        </is>
      </c>
      <c r="AB36" s="103" t="inlineStr">
        <is>
          <t>Aprobado</t>
        </is>
      </c>
      <c r="AC36" s="103" t="inlineStr">
        <is>
          <t>Disponible</t>
        </is>
      </c>
      <c r="AD36" s="103">
        <f>IF(AND(AA36="Implementado",AB36="Aprobado",AC36="Disponible"),"Completa",IF(COUNTA(AA36:AC36)=0,"Sin iniciar","Parcial"))</f>
        <v/>
      </c>
      <c r="AE36" s="104" t="inlineStr">
        <is>
          <t>Verificado contra el codigo</t>
        </is>
      </c>
    </row>
    <row r="37" ht="15" customHeight="1" s="71">
      <c r="A37" s="102" t="inlineStr">
        <is>
          <t>TRZ-034</t>
        </is>
      </c>
      <c r="B37" s="103" t="inlineStr">
        <is>
          <t>1.5</t>
        </is>
      </c>
      <c r="C37" s="103" t="inlineStr">
        <is>
          <t>Órdenes de trabajo</t>
        </is>
      </c>
      <c r="D37" s="103" t="inlineStr">
        <is>
          <t>RF</t>
        </is>
      </c>
      <c r="E37" s="103" t="inlineStr">
        <is>
          <t>Alta</t>
        </is>
      </c>
      <c r="F37" s="103" t="inlineStr">
        <is>
          <t>PRO-01</t>
        </is>
      </c>
      <c r="G37" s="103" t="inlineStr">
        <is>
          <t>OBJ-01</t>
        </is>
      </c>
      <c r="H37" s="103" t="inlineStr">
        <is>
          <t>STK-02</t>
        </is>
      </c>
      <c r="I37" s="103" t="inlineStr">
        <is>
          <t>ALC-06</t>
        </is>
      </c>
      <c r="J37" s="103" t="inlineStr">
        <is>
          <t>RF-034</t>
        </is>
      </c>
      <c r="K37" s="103" t="inlineStr">
        <is>
          <t>Listado de órdenes</t>
        </is>
      </c>
      <c r="L37" s="103" t="inlineStr">
        <is>
          <t>—</t>
        </is>
      </c>
      <c r="M37" s="103" t="inlineStr">
        <is>
          <t>HU-034</t>
        </is>
      </c>
      <c r="N37" s="103" t="inlineStr">
        <is>
          <t>CU-01, CU-02</t>
        </is>
      </c>
      <c r="O37" s="103" t="inlineStr">
        <is>
          <t>UI-007</t>
        </is>
      </c>
      <c r="P37" s="103" t="inlineStr">
        <is>
          <t>ordenTrabajo.controller, ordenTrabajo.service</t>
        </is>
      </c>
      <c r="Q37" s="103" t="inlineStr">
        <is>
          <t>ordenes_trabajo</t>
        </is>
      </c>
      <c r="R37" s="103" t="inlineStr">
        <is>
          <t>GET /api/ordenes</t>
        </is>
      </c>
      <c r="S37" s="103" t="inlineStr">
        <is>
          <t>CP-034</t>
        </is>
      </c>
      <c r="T37" s="103" t="inlineStr">
        <is>
          <t>Manual</t>
        </is>
      </c>
      <c r="U37" s="103" t="inlineStr">
        <is>
          <t>Aprobado</t>
        </is>
      </c>
      <c r="V37" s="103" t="inlineStr">
        <is>
          <t>EV-034</t>
        </is>
      </c>
      <c r="W37" s="103" t="inlineStr">
        <is>
          <t>Plan de Calidad, seccion de clases de prueba</t>
        </is>
      </c>
      <c r="X37" s="103" t="inlineStr">
        <is>
          <t>Juan Carlos Quintero Romero</t>
        </is>
      </c>
      <c r="Y37" s="103" t="inlineStr">
        <is>
          <t>Harryson [apellidos por completar]</t>
        </is>
      </c>
      <c r="Z37" s="103" t="inlineStr">
        <is>
          <t>Aprobado</t>
        </is>
      </c>
      <c r="AA37" s="103" t="inlineStr">
        <is>
          <t>Implementado</t>
        </is>
      </c>
      <c r="AB37" s="103" t="inlineStr">
        <is>
          <t>Aprobado</t>
        </is>
      </c>
      <c r="AC37" s="103" t="inlineStr">
        <is>
          <t>Disponible</t>
        </is>
      </c>
      <c r="AD37" s="103">
        <f>IF(AND(AA37="Implementado",AB37="Aprobado",AC37="Disponible"),"Completa",IF(COUNTA(AA37:AC37)=0,"Sin iniciar","Parcial"))</f>
        <v/>
      </c>
      <c r="AE37" s="104" t="inlineStr">
        <is>
          <t>Verificado contra el codigo</t>
        </is>
      </c>
    </row>
    <row r="38" ht="15" customHeight="1" s="71">
      <c r="A38" s="102" t="inlineStr">
        <is>
          <t>TRZ-035</t>
        </is>
      </c>
      <c r="B38" s="103" t="inlineStr">
        <is>
          <t>1.5</t>
        </is>
      </c>
      <c r="C38" s="103" t="inlineStr">
        <is>
          <t>Órdenes de trabajo</t>
        </is>
      </c>
      <c r="D38" s="103" t="inlineStr">
        <is>
          <t>RF</t>
        </is>
      </c>
      <c r="E38" s="103" t="inlineStr">
        <is>
          <t>Alta</t>
        </is>
      </c>
      <c r="F38" s="103" t="inlineStr">
        <is>
          <t>PRO-01</t>
        </is>
      </c>
      <c r="G38" s="103" t="inlineStr">
        <is>
          <t>OBJ-01</t>
        </is>
      </c>
      <c r="H38" s="103" t="inlineStr">
        <is>
          <t>STK-02</t>
        </is>
      </c>
      <c r="I38" s="103" t="inlineStr">
        <is>
          <t>ALC-06</t>
        </is>
      </c>
      <c r="J38" s="103" t="inlineStr">
        <is>
          <t>RF-035</t>
        </is>
      </c>
      <c r="K38" s="103" t="inlineStr">
        <is>
          <t>Consulta de orden</t>
        </is>
      </c>
      <c r="L38" s="103" t="inlineStr">
        <is>
          <t>—</t>
        </is>
      </c>
      <c r="M38" s="103" t="inlineStr">
        <is>
          <t>HU-035</t>
        </is>
      </c>
      <c r="N38" s="103" t="inlineStr">
        <is>
          <t>CU-01, CU-02</t>
        </is>
      </c>
      <c r="O38" s="103" t="inlineStr">
        <is>
          <t>UI-007</t>
        </is>
      </c>
      <c r="P38" s="103" t="inlineStr">
        <is>
          <t>ordenTrabajo.controller, ordenTrabajo.service</t>
        </is>
      </c>
      <c r="Q38" s="103" t="inlineStr">
        <is>
          <t>ordenes_trabajo</t>
        </is>
      </c>
      <c r="R38" s="103" t="inlineStr">
        <is>
          <t>GET /api/ordenes/:id</t>
        </is>
      </c>
      <c r="S38" s="103" t="inlineStr">
        <is>
          <t>CP-035</t>
        </is>
      </c>
      <c r="T38" s="103" t="inlineStr">
        <is>
          <t>Manual</t>
        </is>
      </c>
      <c r="U38" s="103" t="inlineStr">
        <is>
          <t>Aprobado</t>
        </is>
      </c>
      <c r="V38" s="103" t="inlineStr">
        <is>
          <t>EV-035</t>
        </is>
      </c>
      <c r="W38" s="103" t="inlineStr">
        <is>
          <t>Plan de Calidad, seccion de clases de prueba</t>
        </is>
      </c>
      <c r="X38" s="103" t="inlineStr">
        <is>
          <t>Juan Carlos Quintero Romero</t>
        </is>
      </c>
      <c r="Y38" s="103" t="inlineStr">
        <is>
          <t>Harryson [apellidos por completar]</t>
        </is>
      </c>
      <c r="Z38" s="103" t="inlineStr">
        <is>
          <t>Aprobado</t>
        </is>
      </c>
      <c r="AA38" s="103" t="inlineStr">
        <is>
          <t>Implementado</t>
        </is>
      </c>
      <c r="AB38" s="103" t="inlineStr">
        <is>
          <t>Aprobado</t>
        </is>
      </c>
      <c r="AC38" s="103" t="inlineStr">
        <is>
          <t>Disponible</t>
        </is>
      </c>
      <c r="AD38" s="103">
        <f>IF(AND(AA38="Implementado",AB38="Aprobado",AC38="Disponible"),"Completa",IF(COUNTA(AA38:AC38)=0,"Sin iniciar","Parcial"))</f>
        <v/>
      </c>
      <c r="AE38" s="104" t="inlineStr">
        <is>
          <t>Verificado contra el codigo</t>
        </is>
      </c>
    </row>
    <row r="39" ht="15" customHeight="1" s="71">
      <c r="A39" s="102" t="inlineStr">
        <is>
          <t>TRZ-036</t>
        </is>
      </c>
      <c r="B39" s="103" t="inlineStr">
        <is>
          <t>1.5</t>
        </is>
      </c>
      <c r="C39" s="103" t="inlineStr">
        <is>
          <t>Órdenes de trabajo</t>
        </is>
      </c>
      <c r="D39" s="103" t="inlineStr">
        <is>
          <t>RF</t>
        </is>
      </c>
      <c r="E39" s="103" t="inlineStr">
        <is>
          <t>Alta</t>
        </is>
      </c>
      <c r="F39" s="103" t="inlineStr">
        <is>
          <t>PRO-01</t>
        </is>
      </c>
      <c r="G39" s="103" t="inlineStr">
        <is>
          <t>OBJ-01</t>
        </is>
      </c>
      <c r="H39" s="103" t="inlineStr">
        <is>
          <t>STK-02</t>
        </is>
      </c>
      <c r="I39" s="103" t="inlineStr">
        <is>
          <t>ALC-06</t>
        </is>
      </c>
      <c r="J39" s="103" t="inlineStr">
        <is>
          <t>RF-036</t>
        </is>
      </c>
      <c r="K39" s="103" t="inlineStr">
        <is>
          <t>Listado de órdenes por cliente</t>
        </is>
      </c>
      <c r="L39" s="103" t="inlineStr">
        <is>
          <t>—</t>
        </is>
      </c>
      <c r="M39" s="103" t="inlineStr">
        <is>
          <t>HU-036</t>
        </is>
      </c>
      <c r="N39" s="103" t="inlineStr">
        <is>
          <t>CU-01, CU-02</t>
        </is>
      </c>
      <c r="O39" s="103" t="inlineStr">
        <is>
          <t>UI-007</t>
        </is>
      </c>
      <c r="P39" s="103" t="inlineStr">
        <is>
          <t>ordenTrabajo.controller, ordenTrabajo.service</t>
        </is>
      </c>
      <c r="Q39" s="103" t="inlineStr">
        <is>
          <t>ordenes_trabajo</t>
        </is>
      </c>
      <c r="R39" s="103" t="inlineStr">
        <is>
          <t>GET /api/ordenes/cliente/:clienteId</t>
        </is>
      </c>
      <c r="S39" s="103" t="inlineStr">
        <is>
          <t>CP-036</t>
        </is>
      </c>
      <c r="T39" s="103" t="inlineStr">
        <is>
          <t>Manual</t>
        </is>
      </c>
      <c r="U39" s="103" t="inlineStr">
        <is>
          <t>Aprobado</t>
        </is>
      </c>
      <c r="V39" s="103" t="inlineStr">
        <is>
          <t>EV-036</t>
        </is>
      </c>
      <c r="W39" s="103" t="inlineStr">
        <is>
          <t>Plan de Calidad, seccion de clases de prueba</t>
        </is>
      </c>
      <c r="X39" s="103" t="inlineStr">
        <is>
          <t>Juan Carlos Quintero Romero</t>
        </is>
      </c>
      <c r="Y39" s="103" t="inlineStr">
        <is>
          <t>Harryson [apellidos por completar]</t>
        </is>
      </c>
      <c r="Z39" s="103" t="inlineStr">
        <is>
          <t>Aprobado</t>
        </is>
      </c>
      <c r="AA39" s="103" t="inlineStr">
        <is>
          <t>Implementado</t>
        </is>
      </c>
      <c r="AB39" s="103" t="inlineStr">
        <is>
          <t>Aprobado</t>
        </is>
      </c>
      <c r="AC39" s="103" t="inlineStr">
        <is>
          <t>Disponible</t>
        </is>
      </c>
      <c r="AD39" s="103">
        <f>IF(AND(AA39="Implementado",AB39="Aprobado",AC39="Disponible"),"Completa",IF(COUNTA(AA39:AC39)=0,"Sin iniciar","Parcial"))</f>
        <v/>
      </c>
      <c r="AE39" s="104" t="inlineStr">
        <is>
          <t>Verificado contra el codigo</t>
        </is>
      </c>
    </row>
    <row r="40" ht="15" customHeight="1" s="71">
      <c r="A40" s="102" t="inlineStr">
        <is>
          <t>TRZ-037</t>
        </is>
      </c>
      <c r="B40" s="103" t="inlineStr">
        <is>
          <t>1.5</t>
        </is>
      </c>
      <c r="C40" s="103" t="inlineStr">
        <is>
          <t>Órdenes de trabajo</t>
        </is>
      </c>
      <c r="D40" s="103" t="inlineStr">
        <is>
          <t>RF</t>
        </is>
      </c>
      <c r="E40" s="103" t="inlineStr">
        <is>
          <t>Alta</t>
        </is>
      </c>
      <c r="F40" s="103" t="inlineStr">
        <is>
          <t>PRO-01</t>
        </is>
      </c>
      <c r="G40" s="103" t="inlineStr">
        <is>
          <t>OBJ-01</t>
        </is>
      </c>
      <c r="H40" s="103" t="inlineStr">
        <is>
          <t>STK-02</t>
        </is>
      </c>
      <c r="I40" s="103" t="inlineStr">
        <is>
          <t>ALC-06</t>
        </is>
      </c>
      <c r="J40" s="103" t="inlineStr">
        <is>
          <t>RF-037</t>
        </is>
      </c>
      <c r="K40" s="103" t="inlineStr">
        <is>
          <t>Listado de órdenes por mecánico</t>
        </is>
      </c>
      <c r="L40" s="103" t="inlineStr">
        <is>
          <t>—</t>
        </is>
      </c>
      <c r="M40" s="103" t="inlineStr">
        <is>
          <t>HU-037</t>
        </is>
      </c>
      <c r="N40" s="103" t="inlineStr">
        <is>
          <t>CU-01, CU-02</t>
        </is>
      </c>
      <c r="O40" s="103" t="inlineStr">
        <is>
          <t>UI-007</t>
        </is>
      </c>
      <c r="P40" s="103" t="inlineStr">
        <is>
          <t>ordenTrabajo.controller, ordenTrabajo.service</t>
        </is>
      </c>
      <c r="Q40" s="103" t="inlineStr">
        <is>
          <t>ordenes_trabajo</t>
        </is>
      </c>
      <c r="R40" s="103" t="inlineStr">
        <is>
          <t>GET /api/ordenes/mecanico/:mecanicoId</t>
        </is>
      </c>
      <c r="S40" s="103" t="inlineStr">
        <is>
          <t>CP-037</t>
        </is>
      </c>
      <c r="T40" s="103" t="inlineStr">
        <is>
          <t>Manual</t>
        </is>
      </c>
      <c r="U40" s="103" t="inlineStr">
        <is>
          <t>Aprobado</t>
        </is>
      </c>
      <c r="V40" s="103" t="inlineStr">
        <is>
          <t>EV-037</t>
        </is>
      </c>
      <c r="W40" s="103" t="inlineStr">
        <is>
          <t>Plan de Calidad, seccion de clases de prueba</t>
        </is>
      </c>
      <c r="X40" s="103" t="inlineStr">
        <is>
          <t>Juan Carlos Quintero Romero</t>
        </is>
      </c>
      <c r="Y40" s="103" t="inlineStr">
        <is>
          <t>Harryson [apellidos por completar]</t>
        </is>
      </c>
      <c r="Z40" s="103" t="inlineStr">
        <is>
          <t>Aprobado</t>
        </is>
      </c>
      <c r="AA40" s="103" t="inlineStr">
        <is>
          <t>Implementado</t>
        </is>
      </c>
      <c r="AB40" s="103" t="inlineStr">
        <is>
          <t>Aprobado</t>
        </is>
      </c>
      <c r="AC40" s="103" t="inlineStr">
        <is>
          <t>Disponible</t>
        </is>
      </c>
      <c r="AD40" s="103">
        <f>IF(AND(AA40="Implementado",AB40="Aprobado",AC40="Disponible"),"Completa",IF(COUNTA(AA40:AC40)=0,"Sin iniciar","Parcial"))</f>
        <v/>
      </c>
      <c r="AE40" s="104" t="inlineStr">
        <is>
          <t>Verificado contra el codigo</t>
        </is>
      </c>
    </row>
    <row r="41" ht="15" customHeight="1" s="71">
      <c r="A41" s="102" t="inlineStr">
        <is>
          <t>TRZ-038</t>
        </is>
      </c>
      <c r="B41" s="103" t="inlineStr">
        <is>
          <t>1.5</t>
        </is>
      </c>
      <c r="C41" s="103" t="inlineStr">
        <is>
          <t>Órdenes de trabajo</t>
        </is>
      </c>
      <c r="D41" s="103" t="inlineStr">
        <is>
          <t>RF</t>
        </is>
      </c>
      <c r="E41" s="103" t="inlineStr">
        <is>
          <t>Alta</t>
        </is>
      </c>
      <c r="F41" s="103" t="inlineStr">
        <is>
          <t>PRO-01</t>
        </is>
      </c>
      <c r="G41" s="103" t="inlineStr">
        <is>
          <t>OBJ-01</t>
        </is>
      </c>
      <c r="H41" s="103" t="inlineStr">
        <is>
          <t>STK-02</t>
        </is>
      </c>
      <c r="I41" s="103" t="inlineStr">
        <is>
          <t>ALC-06</t>
        </is>
      </c>
      <c r="J41" s="103" t="inlineStr">
        <is>
          <t>RF-038</t>
        </is>
      </c>
      <c r="K41" s="103" t="inlineStr">
        <is>
          <t>Asignación de mecánico</t>
        </is>
      </c>
      <c r="L41" s="103" t="inlineStr">
        <is>
          <t>RN-018, RN-019</t>
        </is>
      </c>
      <c r="M41" s="103" t="inlineStr">
        <is>
          <t>HU-038</t>
        </is>
      </c>
      <c r="N41" s="103" t="inlineStr">
        <is>
          <t>CU-01, CU-02</t>
        </is>
      </c>
      <c r="O41" s="103" t="inlineStr">
        <is>
          <t>UI-007</t>
        </is>
      </c>
      <c r="P41" s="103" t="inlineStr">
        <is>
          <t>ordenTrabajo.controller, ordenTrabajo.service</t>
        </is>
      </c>
      <c r="Q41" s="103" t="inlineStr">
        <is>
          <t>ordenes_trabajo</t>
        </is>
      </c>
      <c r="R41" s="103" t="inlineStr">
        <is>
          <t>PATCH /api/ordenes/:id/mecanico</t>
        </is>
      </c>
      <c r="S41" s="103" t="inlineStr">
        <is>
          <t>CP-038</t>
        </is>
      </c>
      <c r="T41" s="103" t="inlineStr">
        <is>
          <t>Manual</t>
        </is>
      </c>
      <c r="U41" s="103" t="inlineStr">
        <is>
          <t>Aprobado</t>
        </is>
      </c>
      <c r="V41" s="103" t="inlineStr">
        <is>
          <t>EV-038</t>
        </is>
      </c>
      <c r="W41" s="103" t="inlineStr">
        <is>
          <t>Plan de Calidad, seccion de clases de prueba</t>
        </is>
      </c>
      <c r="X41" s="103" t="inlineStr">
        <is>
          <t>Juan Carlos Quintero Romero</t>
        </is>
      </c>
      <c r="Y41" s="103" t="inlineStr">
        <is>
          <t>Harryson [apellidos por completar]</t>
        </is>
      </c>
      <c r="Z41" s="103" t="inlineStr">
        <is>
          <t>Aprobado</t>
        </is>
      </c>
      <c r="AA41" s="103" t="inlineStr">
        <is>
          <t>Implementado</t>
        </is>
      </c>
      <c r="AB41" s="103" t="inlineStr">
        <is>
          <t>Aprobado</t>
        </is>
      </c>
      <c r="AC41" s="103" t="inlineStr">
        <is>
          <t>Disponible</t>
        </is>
      </c>
      <c r="AD41" s="103">
        <f>IF(AND(AA41="Implementado",AB41="Aprobado",AC41="Disponible"),"Completa",IF(COUNTA(AA41:AC41)=0,"Sin iniciar","Parcial"))</f>
        <v/>
      </c>
      <c r="AE41" s="104" t="inlineStr">
        <is>
          <t>Verificado contra el codigo</t>
        </is>
      </c>
    </row>
    <row r="42" ht="15" customHeight="1" s="71">
      <c r="A42" s="102" t="inlineStr">
        <is>
          <t>TRZ-039</t>
        </is>
      </c>
      <c r="B42" s="103" t="inlineStr">
        <is>
          <t>1.5</t>
        </is>
      </c>
      <c r="C42" s="103" t="inlineStr">
        <is>
          <t>Órdenes de trabajo</t>
        </is>
      </c>
      <c r="D42" s="103" t="inlineStr">
        <is>
          <t>RF</t>
        </is>
      </c>
      <c r="E42" s="103" t="inlineStr">
        <is>
          <t>Alta</t>
        </is>
      </c>
      <c r="F42" s="103" t="inlineStr">
        <is>
          <t>PRO-01</t>
        </is>
      </c>
      <c r="G42" s="103" t="inlineStr">
        <is>
          <t>OBJ-01</t>
        </is>
      </c>
      <c r="H42" s="103" t="inlineStr">
        <is>
          <t>STK-02</t>
        </is>
      </c>
      <c r="I42" s="103" t="inlineStr">
        <is>
          <t>ALC-06</t>
        </is>
      </c>
      <c r="J42" s="103" t="inlineStr">
        <is>
          <t>RF-039</t>
        </is>
      </c>
      <c r="K42" s="103" t="inlineStr">
        <is>
          <t>Avance del estado de la orden</t>
        </is>
      </c>
      <c r="L42" s="103" t="inlineStr">
        <is>
          <t>RN-015, RN-016, RN-017</t>
        </is>
      </c>
      <c r="M42" s="103" t="inlineStr">
        <is>
          <t>HU-039</t>
        </is>
      </c>
      <c r="N42" s="103" t="inlineStr">
        <is>
          <t>CU-01, CU-02</t>
        </is>
      </c>
      <c r="O42" s="103" t="inlineStr">
        <is>
          <t>UI-007</t>
        </is>
      </c>
      <c r="P42" s="103" t="inlineStr">
        <is>
          <t>ordenTrabajo.controller, ordenTrabajo.service</t>
        </is>
      </c>
      <c r="Q42" s="103" t="inlineStr">
        <is>
          <t>ordenes_trabajo</t>
        </is>
      </c>
      <c r="R42" s="103" t="inlineStr">
        <is>
          <t>PATCH /api/ordenes/:id/estado</t>
        </is>
      </c>
      <c r="S42" s="103" t="inlineStr">
        <is>
          <t>CP-039</t>
        </is>
      </c>
      <c r="T42" s="103" t="inlineStr">
        <is>
          <t>Manual</t>
        </is>
      </c>
      <c r="U42" s="103" t="inlineStr">
        <is>
          <t>Aprobado</t>
        </is>
      </c>
      <c r="V42" s="103" t="inlineStr">
        <is>
          <t>EV-039</t>
        </is>
      </c>
      <c r="W42" s="103" t="inlineStr">
        <is>
          <t>Plan de Calidad, seccion de clases de prueba</t>
        </is>
      </c>
      <c r="X42" s="103" t="inlineStr">
        <is>
          <t>Juan Carlos Quintero Romero</t>
        </is>
      </c>
      <c r="Y42" s="103" t="inlineStr">
        <is>
          <t>Harryson [apellidos por completar]</t>
        </is>
      </c>
      <c r="Z42" s="103" t="inlineStr">
        <is>
          <t>Aprobado</t>
        </is>
      </c>
      <c r="AA42" s="103" t="inlineStr">
        <is>
          <t>Implementado</t>
        </is>
      </c>
      <c r="AB42" s="103" t="inlineStr">
        <is>
          <t>Aprobado</t>
        </is>
      </c>
      <c r="AC42" s="103" t="inlineStr">
        <is>
          <t>Disponible</t>
        </is>
      </c>
      <c r="AD42" s="103">
        <f>IF(AND(AA42="Implementado",AB42="Aprobado",AC42="Disponible"),"Completa",IF(COUNTA(AA42:AC42)=0,"Sin iniciar","Parcial"))</f>
        <v/>
      </c>
      <c r="AE42" s="104" t="inlineStr">
        <is>
          <t>Verificado contra el codigo</t>
        </is>
      </c>
    </row>
    <row r="43" ht="15" customHeight="1" s="71">
      <c r="A43" s="102" t="inlineStr">
        <is>
          <t>TRZ-040</t>
        </is>
      </c>
      <c r="B43" s="103" t="inlineStr">
        <is>
          <t>1.5</t>
        </is>
      </c>
      <c r="C43" s="103" t="inlineStr">
        <is>
          <t>Órdenes de trabajo</t>
        </is>
      </c>
      <c r="D43" s="103" t="inlineStr">
        <is>
          <t>RF</t>
        </is>
      </c>
      <c r="E43" s="103" t="inlineStr">
        <is>
          <t>Media</t>
        </is>
      </c>
      <c r="F43" s="103" t="inlineStr">
        <is>
          <t>PRO-01</t>
        </is>
      </c>
      <c r="G43" s="103" t="inlineStr">
        <is>
          <t>OBJ-01</t>
        </is>
      </c>
      <c r="H43" s="103" t="inlineStr">
        <is>
          <t>STK-02</t>
        </is>
      </c>
      <c r="I43" s="103" t="inlineStr">
        <is>
          <t>ALC-06</t>
        </is>
      </c>
      <c r="J43" s="103" t="inlineStr">
        <is>
          <t>RF-040</t>
        </is>
      </c>
      <c r="K43" s="103" t="inlineStr">
        <is>
          <t>Actualización de la orden</t>
        </is>
      </c>
      <c r="L43" s="103" t="inlineStr">
        <is>
          <t>—</t>
        </is>
      </c>
      <c r="M43" s="103" t="inlineStr">
        <is>
          <t>HU-040</t>
        </is>
      </c>
      <c r="N43" s="103" t="inlineStr">
        <is>
          <t>CU-01, CU-02</t>
        </is>
      </c>
      <c r="O43" s="103" t="inlineStr">
        <is>
          <t>UI-007</t>
        </is>
      </c>
      <c r="P43" s="103" t="inlineStr">
        <is>
          <t>ordenTrabajo.controller, ordenTrabajo.service</t>
        </is>
      </c>
      <c r="Q43" s="103" t="inlineStr">
        <is>
          <t>ordenes_trabajo</t>
        </is>
      </c>
      <c r="R43" s="103" t="inlineStr">
        <is>
          <t>PUT /api/ordenes/:id</t>
        </is>
      </c>
      <c r="S43" s="103" t="inlineStr">
        <is>
          <t>CP-040</t>
        </is>
      </c>
      <c r="T43" s="103" t="inlineStr">
        <is>
          <t>Manual</t>
        </is>
      </c>
      <c r="U43" s="103" t="inlineStr">
        <is>
          <t>Aprobado</t>
        </is>
      </c>
      <c r="V43" s="103" t="inlineStr">
        <is>
          <t>EV-040</t>
        </is>
      </c>
      <c r="W43" s="103" t="inlineStr">
        <is>
          <t>Plan de Calidad, seccion de clases de prueba</t>
        </is>
      </c>
      <c r="X43" s="103" t="inlineStr">
        <is>
          <t>Juan Carlos Quintero Romero</t>
        </is>
      </c>
      <c r="Y43" s="103" t="inlineStr">
        <is>
          <t>Harryson [apellidos por completar]</t>
        </is>
      </c>
      <c r="Z43" s="103" t="inlineStr">
        <is>
          <t>Aprobado</t>
        </is>
      </c>
      <c r="AA43" s="103" t="inlineStr">
        <is>
          <t>Implementado</t>
        </is>
      </c>
      <c r="AB43" s="103" t="inlineStr">
        <is>
          <t>Aprobado</t>
        </is>
      </c>
      <c r="AC43" s="103" t="inlineStr">
        <is>
          <t>Disponible</t>
        </is>
      </c>
      <c r="AD43" s="103">
        <f>IF(AND(AA43="Implementado",AB43="Aprobado",AC43="Disponible"),"Completa",IF(COUNTA(AA43:AC43)=0,"Sin iniciar","Parcial"))</f>
        <v/>
      </c>
      <c r="AE43" s="104" t="inlineStr">
        <is>
          <t>Verificado contra el codigo</t>
        </is>
      </c>
    </row>
    <row r="44" ht="15" customHeight="1" s="71">
      <c r="A44" s="102" t="inlineStr">
        <is>
          <t>TRZ-041</t>
        </is>
      </c>
      <c r="B44" s="103" t="inlineStr">
        <is>
          <t>1.5</t>
        </is>
      </c>
      <c r="C44" s="103" t="inlineStr">
        <is>
          <t>Órdenes de trabajo</t>
        </is>
      </c>
      <c r="D44" s="103" t="inlineStr">
        <is>
          <t>RF</t>
        </is>
      </c>
      <c r="E44" s="103" t="inlineStr">
        <is>
          <t>Baja</t>
        </is>
      </c>
      <c r="F44" s="103" t="inlineStr">
        <is>
          <t>PRO-01</t>
        </is>
      </c>
      <c r="G44" s="103" t="inlineStr">
        <is>
          <t>OBJ-01</t>
        </is>
      </c>
      <c r="H44" s="103" t="inlineStr">
        <is>
          <t>STK-02</t>
        </is>
      </c>
      <c r="I44" s="103" t="inlineStr">
        <is>
          <t>ALC-06</t>
        </is>
      </c>
      <c r="J44" s="103" t="inlineStr">
        <is>
          <t>RF-041</t>
        </is>
      </c>
      <c r="K44" s="103" t="inlineStr">
        <is>
          <t>Eliminación de orden</t>
        </is>
      </c>
      <c r="L44" s="103" t="inlineStr">
        <is>
          <t>—</t>
        </is>
      </c>
      <c r="M44" s="103" t="inlineStr">
        <is>
          <t>HU-041</t>
        </is>
      </c>
      <c r="N44" s="103" t="inlineStr">
        <is>
          <t>CU-01, CU-02</t>
        </is>
      </c>
      <c r="O44" s="103" t="inlineStr">
        <is>
          <t>UI-007</t>
        </is>
      </c>
      <c r="P44" s="103" t="inlineStr">
        <is>
          <t>ordenTrabajo.controller, ordenTrabajo.service</t>
        </is>
      </c>
      <c r="Q44" s="103" t="inlineStr">
        <is>
          <t>ordenes_trabajo</t>
        </is>
      </c>
      <c r="R44" s="103" t="inlineStr">
        <is>
          <t>DELETE /api/ordenes/:id</t>
        </is>
      </c>
      <c r="S44" s="103" t="inlineStr">
        <is>
          <t>CP-041</t>
        </is>
      </c>
      <c r="T44" s="103" t="inlineStr">
        <is>
          <t>Manual</t>
        </is>
      </c>
      <c r="U44" s="103" t="inlineStr">
        <is>
          <t>Aprobado</t>
        </is>
      </c>
      <c r="V44" s="103" t="inlineStr">
        <is>
          <t>EV-041</t>
        </is>
      </c>
      <c r="W44" s="103" t="inlineStr">
        <is>
          <t>Plan de Calidad, seccion de clases de prueba</t>
        </is>
      </c>
      <c r="X44" s="103" t="inlineStr">
        <is>
          <t>Juan Carlos Quintero Romero</t>
        </is>
      </c>
      <c r="Y44" s="103" t="inlineStr">
        <is>
          <t>Harryson [apellidos por completar]</t>
        </is>
      </c>
      <c r="Z44" s="103" t="inlineStr">
        <is>
          <t>Aprobado</t>
        </is>
      </c>
      <c r="AA44" s="103" t="inlineStr">
        <is>
          <t>Implementado</t>
        </is>
      </c>
      <c r="AB44" s="103" t="inlineStr">
        <is>
          <t>Aprobado</t>
        </is>
      </c>
      <c r="AC44" s="103" t="inlineStr">
        <is>
          <t>Disponible</t>
        </is>
      </c>
      <c r="AD44" s="103">
        <f>IF(AND(AA44="Implementado",AB44="Aprobado",AC44="Disponible"),"Completa",IF(COUNTA(AA44:AC44)=0,"Sin iniciar","Parcial"))</f>
        <v/>
      </c>
      <c r="AE44" s="104" t="inlineStr">
        <is>
          <t>Verificado contra el codigo</t>
        </is>
      </c>
    </row>
    <row r="45" ht="15" customHeight="1" s="71">
      <c r="A45" s="102" t="inlineStr">
        <is>
          <t>TRZ-042</t>
        </is>
      </c>
      <c r="B45" s="103" t="inlineStr">
        <is>
          <t>1.5</t>
        </is>
      </c>
      <c r="C45" s="103" t="inlineStr">
        <is>
          <t>Seguimiento público</t>
        </is>
      </c>
      <c r="D45" s="103" t="inlineStr">
        <is>
          <t>RF</t>
        </is>
      </c>
      <c r="E45" s="103" t="inlineStr">
        <is>
          <t>Alta</t>
        </is>
      </c>
      <c r="F45" s="103" t="inlineStr">
        <is>
          <t>PRO-01</t>
        </is>
      </c>
      <c r="G45" s="103" t="inlineStr">
        <is>
          <t>OBJ-03</t>
        </is>
      </c>
      <c r="H45" s="103" t="inlineStr">
        <is>
          <t>STK-04</t>
        </is>
      </c>
      <c r="I45" s="103" t="inlineStr">
        <is>
          <t>ALC-07</t>
        </is>
      </c>
      <c r="J45" s="103" t="inlineStr">
        <is>
          <t>RF-042</t>
        </is>
      </c>
      <c r="K45" s="103" t="inlineStr">
        <is>
          <t>Consulta pública por código</t>
        </is>
      </c>
      <c r="L45" s="103" t="inlineStr">
        <is>
          <t>—</t>
        </is>
      </c>
      <c r="M45" s="103" t="inlineStr">
        <is>
          <t>HU-042</t>
        </is>
      </c>
      <c r="N45" s="103" t="inlineStr">
        <is>
          <t>CU-04</t>
        </is>
      </c>
      <c r="O45" s="103" t="inlineStr">
        <is>
          <t>UI-016</t>
        </is>
      </c>
      <c r="P45" s="103" t="inlineStr">
        <is>
          <t>ordenTrabajo.repository (camposPublicos)</t>
        </is>
      </c>
      <c r="Q45" s="103" t="inlineStr">
        <is>
          <t>ordenes_trabajo</t>
        </is>
      </c>
      <c r="R45" s="103" t="inlineStr">
        <is>
          <t>GET /api/ordenes/seguimiento/:codigo</t>
        </is>
      </c>
      <c r="S45" s="103" t="inlineStr">
        <is>
          <t>CP-042</t>
        </is>
      </c>
      <c r="T45" s="103" t="inlineStr">
        <is>
          <t>Manual</t>
        </is>
      </c>
      <c r="U45" s="103" t="inlineStr">
        <is>
          <t>Aprobado</t>
        </is>
      </c>
      <c r="V45" s="103" t="inlineStr">
        <is>
          <t>EV-042</t>
        </is>
      </c>
      <c r="W45" s="103" t="inlineStr">
        <is>
          <t>Plan de Calidad, seccion de clases de prueba</t>
        </is>
      </c>
      <c r="X45" s="103" t="inlineStr">
        <is>
          <t>Juan Carlos Quintero Romero</t>
        </is>
      </c>
      <c r="Y45" s="103" t="inlineStr">
        <is>
          <t>Harryson [apellidos por completar]</t>
        </is>
      </c>
      <c r="Z45" s="103" t="inlineStr">
        <is>
          <t>Aprobado</t>
        </is>
      </c>
      <c r="AA45" s="103" t="inlineStr">
        <is>
          <t>Implementado</t>
        </is>
      </c>
      <c r="AB45" s="103" t="inlineStr">
        <is>
          <t>Aprobado</t>
        </is>
      </c>
      <c r="AC45" s="103" t="inlineStr">
        <is>
          <t>Disponible</t>
        </is>
      </c>
      <c r="AD45" s="103">
        <f>IF(AND(AA45="Implementado",AB45="Aprobado",AC45="Disponible"),"Completa",IF(COUNTA(AA45:AC45)=0,"Sin iniciar","Parcial"))</f>
        <v/>
      </c>
      <c r="AE45" s="104" t="inlineStr">
        <is>
          <t>Verificado contra el codigo</t>
        </is>
      </c>
    </row>
    <row r="46" ht="15" customHeight="1" s="71">
      <c r="A46" s="102" t="inlineStr">
        <is>
          <t>TRZ-043</t>
        </is>
      </c>
      <c r="B46" s="103" t="inlineStr">
        <is>
          <t>1.5</t>
        </is>
      </c>
      <c r="C46" s="103" t="inlineStr">
        <is>
          <t>Seguimiento público</t>
        </is>
      </c>
      <c r="D46" s="103" t="inlineStr">
        <is>
          <t>RF</t>
        </is>
      </c>
      <c r="E46" s="103" t="inlineStr">
        <is>
          <t>Alta</t>
        </is>
      </c>
      <c r="F46" s="103" t="inlineStr">
        <is>
          <t>PRO-01</t>
        </is>
      </c>
      <c r="G46" s="103" t="inlineStr">
        <is>
          <t>OBJ-03</t>
        </is>
      </c>
      <c r="H46" s="103" t="inlineStr">
        <is>
          <t>STK-04</t>
        </is>
      </c>
      <c r="I46" s="103" t="inlineStr">
        <is>
          <t>ALC-07</t>
        </is>
      </c>
      <c r="J46" s="103" t="inlineStr">
        <is>
          <t>RF-043</t>
        </is>
      </c>
      <c r="K46" s="103" t="inlineStr">
        <is>
          <t>Proyección reducida de la consulta pública</t>
        </is>
      </c>
      <c r="L46" s="103" t="inlineStr">
        <is>
          <t>RN-029</t>
        </is>
      </c>
      <c r="M46" s="103" t="inlineStr">
        <is>
          <t>HU-043</t>
        </is>
      </c>
      <c r="N46" s="103" t="inlineStr">
        <is>
          <t>CU-04</t>
        </is>
      </c>
      <c r="O46" s="103" t="inlineStr">
        <is>
          <t>UI-016</t>
        </is>
      </c>
      <c r="P46" s="103" t="inlineStr">
        <is>
          <t>ordenTrabajo.repository (camposPublicos)</t>
        </is>
      </c>
      <c r="Q46" s="103" t="inlineStr">
        <is>
          <t>ordenes_trabajo</t>
        </is>
      </c>
      <c r="R46" s="103" t="inlineStr">
        <is>
          <t>GET /api/ordenes/seguimiento/:codigo</t>
        </is>
      </c>
      <c r="S46" s="103" t="inlineStr">
        <is>
          <t>CP-043</t>
        </is>
      </c>
      <c r="T46" s="103" t="inlineStr">
        <is>
          <t>Manual</t>
        </is>
      </c>
      <c r="U46" s="103" t="inlineStr">
        <is>
          <t>Aprobado</t>
        </is>
      </c>
      <c r="V46" s="103" t="inlineStr">
        <is>
          <t>EV-043</t>
        </is>
      </c>
      <c r="W46" s="103" t="inlineStr">
        <is>
          <t>Plan de Calidad, seccion de clases de prueba</t>
        </is>
      </c>
      <c r="X46" s="103" t="inlineStr">
        <is>
          <t>Juan Carlos Quintero Romero</t>
        </is>
      </c>
      <c r="Y46" s="103" t="inlineStr">
        <is>
          <t>Harryson [apellidos por completar]</t>
        </is>
      </c>
      <c r="Z46" s="103" t="inlineStr">
        <is>
          <t>Aprobado</t>
        </is>
      </c>
      <c r="AA46" s="103" t="inlineStr">
        <is>
          <t>Implementado</t>
        </is>
      </c>
      <c r="AB46" s="103" t="inlineStr">
        <is>
          <t>Aprobado</t>
        </is>
      </c>
      <c r="AC46" s="103" t="inlineStr">
        <is>
          <t>Disponible</t>
        </is>
      </c>
      <c r="AD46" s="103">
        <f>IF(AND(AA46="Implementado",AB46="Aprobado",AC46="Disponible"),"Completa",IF(COUNTA(AA46:AC46)=0,"Sin iniciar","Parcial"))</f>
        <v/>
      </c>
      <c r="AE46" s="104" t="inlineStr">
        <is>
          <t>Verificado contra el codigo</t>
        </is>
      </c>
    </row>
    <row r="47" ht="15" customHeight="1" s="71">
      <c r="A47" s="102" t="inlineStr">
        <is>
          <t>TRZ-044</t>
        </is>
      </c>
      <c r="B47" s="103" t="inlineStr">
        <is>
          <t>1.5</t>
        </is>
      </c>
      <c r="C47" s="103" t="inlineStr">
        <is>
          <t>Seguimiento público</t>
        </is>
      </c>
      <c r="D47" s="103" t="inlineStr">
        <is>
          <t>RF</t>
        </is>
      </c>
      <c r="E47" s="103" t="inlineStr">
        <is>
          <t>Alta</t>
        </is>
      </c>
      <c r="F47" s="103" t="inlineStr">
        <is>
          <t>PRO-01</t>
        </is>
      </c>
      <c r="G47" s="103" t="inlineStr">
        <is>
          <t>OBJ-03</t>
        </is>
      </c>
      <c r="H47" s="103" t="inlineStr">
        <is>
          <t>STK-04</t>
        </is>
      </c>
      <c r="I47" s="103" t="inlineStr">
        <is>
          <t>ALC-07</t>
        </is>
      </c>
      <c r="J47" s="103" t="inlineStr">
        <is>
          <t>RF-044</t>
        </is>
      </c>
      <c r="K47" s="103" t="inlineStr">
        <is>
          <t>Línea de tiempo del avance</t>
        </is>
      </c>
      <c r="L47" s="103" t="inlineStr">
        <is>
          <t>RN-030</t>
        </is>
      </c>
      <c r="M47" s="103" t="inlineStr">
        <is>
          <t>HU-044</t>
        </is>
      </c>
      <c r="N47" s="103" t="inlineStr">
        <is>
          <t>CU-04</t>
        </is>
      </c>
      <c r="O47" s="103" t="inlineStr">
        <is>
          <t>UI-016</t>
        </is>
      </c>
      <c r="P47" s="103" t="inlineStr">
        <is>
          <t>ordenTrabajo.repository (camposPublicos)</t>
        </is>
      </c>
      <c r="Q47" s="103" t="inlineStr">
        <is>
          <t>ordenes_trabajo</t>
        </is>
      </c>
      <c r="R47" s="103" t="inlineStr">
        <is>
          <t>—</t>
        </is>
      </c>
      <c r="S47" s="103" t="inlineStr">
        <is>
          <t>CP-044</t>
        </is>
      </c>
      <c r="T47" s="103" t="inlineStr">
        <is>
          <t>Manual</t>
        </is>
      </c>
      <c r="U47" s="103" t="inlineStr">
        <is>
          <t>Aprobado</t>
        </is>
      </c>
      <c r="V47" s="103" t="inlineStr">
        <is>
          <t>EV-044</t>
        </is>
      </c>
      <c r="W47" s="103" t="inlineStr">
        <is>
          <t>Plan de Calidad, seccion de clases de prueba</t>
        </is>
      </c>
      <c r="X47" s="103" t="inlineStr">
        <is>
          <t>Juan Carlos Quintero Romero</t>
        </is>
      </c>
      <c r="Y47" s="103" t="inlineStr">
        <is>
          <t>Harryson [apellidos por completar]</t>
        </is>
      </c>
      <c r="Z47" s="103" t="inlineStr">
        <is>
          <t>Aprobado</t>
        </is>
      </c>
      <c r="AA47" s="103" t="inlineStr">
        <is>
          <t>Implementado</t>
        </is>
      </c>
      <c r="AB47" s="103" t="inlineStr">
        <is>
          <t>Aprobado</t>
        </is>
      </c>
      <c r="AC47" s="103" t="inlineStr">
        <is>
          <t>Disponible</t>
        </is>
      </c>
      <c r="AD47" s="103">
        <f>IF(AND(AA47="Implementado",AB47="Aprobado",AC47="Disponible"),"Completa",IF(COUNTA(AA47:AC47)=0,"Sin iniciar","Parcial"))</f>
        <v/>
      </c>
      <c r="AE47" s="104" t="inlineStr">
        <is>
          <t>Verificado contra el codigo</t>
        </is>
      </c>
    </row>
    <row r="48" ht="15" customHeight="1" s="71">
      <c r="A48" s="102" t="inlineStr">
        <is>
          <t>TRZ-045</t>
        </is>
      </c>
      <c r="B48" s="103" t="inlineStr">
        <is>
          <t>1.5</t>
        </is>
      </c>
      <c r="C48" s="103" t="inlineStr">
        <is>
          <t>Diagnóstico y cotización</t>
        </is>
      </c>
      <c r="D48" s="103" t="inlineStr">
        <is>
          <t>RF</t>
        </is>
      </c>
      <c r="E48" s="103" t="inlineStr">
        <is>
          <t>Alta</t>
        </is>
      </c>
      <c r="F48" s="103" t="inlineStr">
        <is>
          <t>PRO-01</t>
        </is>
      </c>
      <c r="G48" s="103" t="inlineStr">
        <is>
          <t>OBJ-01</t>
        </is>
      </c>
      <c r="H48" s="103" t="inlineStr">
        <is>
          <t>STK-02</t>
        </is>
      </c>
      <c r="I48" s="103" t="inlineStr">
        <is>
          <t>ALC-08</t>
        </is>
      </c>
      <c r="J48" s="103" t="inlineStr">
        <is>
          <t>RF-045</t>
        </is>
      </c>
      <c r="K48" s="103" t="inlineStr">
        <is>
          <t>Registro del diagnóstico</t>
        </is>
      </c>
      <c r="L48" s="103" t="inlineStr">
        <is>
          <t>RN-027</t>
        </is>
      </c>
      <c r="M48" s="103" t="inlineStr">
        <is>
          <t>HU-045</t>
        </is>
      </c>
      <c r="N48" s="103" t="inlineStr">
        <is>
          <t>CU-03</t>
        </is>
      </c>
      <c r="O48" s="103" t="inlineStr">
        <is>
          <t>UI-007</t>
        </is>
      </c>
      <c r="P48" s="103" t="inlineStr">
        <is>
          <t>diagnostico.controller, diagnostico.service</t>
        </is>
      </c>
      <c r="Q48" s="103" t="inlineStr">
        <is>
          <t>diagnosticos, items_cotizacion</t>
        </is>
      </c>
      <c r="R48" s="103" t="inlineStr">
        <is>
          <t>POST /api/diagnosticos</t>
        </is>
      </c>
      <c r="S48" s="103" t="inlineStr">
        <is>
          <t>CP-045</t>
        </is>
      </c>
      <c r="T48" s="103" t="inlineStr">
        <is>
          <t>Manual</t>
        </is>
      </c>
      <c r="U48" s="103" t="inlineStr">
        <is>
          <t>Aprobado</t>
        </is>
      </c>
      <c r="V48" s="103" t="inlineStr">
        <is>
          <t>EV-045</t>
        </is>
      </c>
      <c r="W48" s="103" t="inlineStr">
        <is>
          <t>Plan de Calidad, seccion de clases de prueba</t>
        </is>
      </c>
      <c r="X48" s="103" t="inlineStr">
        <is>
          <t>Juan Carlos Quintero Romero</t>
        </is>
      </c>
      <c r="Y48" s="103" t="inlineStr">
        <is>
          <t>Harryson [apellidos por completar]</t>
        </is>
      </c>
      <c r="Z48" s="103" t="inlineStr">
        <is>
          <t>Aprobado</t>
        </is>
      </c>
      <c r="AA48" s="103" t="inlineStr">
        <is>
          <t>Implementado</t>
        </is>
      </c>
      <c r="AB48" s="103" t="inlineStr">
        <is>
          <t>Aprobado</t>
        </is>
      </c>
      <c r="AC48" s="103" t="inlineStr">
        <is>
          <t>Disponible</t>
        </is>
      </c>
      <c r="AD48" s="103">
        <f>IF(AND(AA48="Implementado",AB48="Aprobado",AC48="Disponible"),"Completa",IF(COUNTA(AA48:AC48)=0,"Sin iniciar","Parcial"))</f>
        <v/>
      </c>
      <c r="AE48" s="104" t="inlineStr">
        <is>
          <t>Verificado contra el codigo</t>
        </is>
      </c>
    </row>
    <row r="49" ht="15" customHeight="1" s="71">
      <c r="A49" s="102" t="inlineStr">
        <is>
          <t>TRZ-046</t>
        </is>
      </c>
      <c r="B49" s="103" t="inlineStr">
        <is>
          <t>1.5</t>
        </is>
      </c>
      <c r="C49" s="103" t="inlineStr">
        <is>
          <t>Diagnóstico y cotización</t>
        </is>
      </c>
      <c r="D49" s="103" t="inlineStr">
        <is>
          <t>RF</t>
        </is>
      </c>
      <c r="E49" s="103" t="inlineStr">
        <is>
          <t>Media</t>
        </is>
      </c>
      <c r="F49" s="103" t="inlineStr">
        <is>
          <t>PRO-01</t>
        </is>
      </c>
      <c r="G49" s="103" t="inlineStr">
        <is>
          <t>OBJ-01</t>
        </is>
      </c>
      <c r="H49" s="103" t="inlineStr">
        <is>
          <t>STK-02</t>
        </is>
      </c>
      <c r="I49" s="103" t="inlineStr">
        <is>
          <t>ALC-08</t>
        </is>
      </c>
      <c r="J49" s="103" t="inlineStr">
        <is>
          <t>RF-046</t>
        </is>
      </c>
      <c r="K49" s="103" t="inlineStr">
        <is>
          <t>Consulta del diagnóstico</t>
        </is>
      </c>
      <c r="L49" s="103" t="inlineStr">
        <is>
          <t>—</t>
        </is>
      </c>
      <c r="M49" s="103" t="inlineStr">
        <is>
          <t>HU-046</t>
        </is>
      </c>
      <c r="N49" s="103" t="inlineStr">
        <is>
          <t>CU-03</t>
        </is>
      </c>
      <c r="O49" s="103" t="inlineStr">
        <is>
          <t>UI-007</t>
        </is>
      </c>
      <c r="P49" s="103" t="inlineStr">
        <is>
          <t>diagnostico.controller, diagnostico.service</t>
        </is>
      </c>
      <c r="Q49" s="103" t="inlineStr">
        <is>
          <t>diagnosticos, items_cotizacion</t>
        </is>
      </c>
      <c r="R49" s="103" t="inlineStr">
        <is>
          <t>GET /api/diagnosticos/orden/:ordenId</t>
        </is>
      </c>
      <c r="S49" s="103" t="inlineStr">
        <is>
          <t>CP-046</t>
        </is>
      </c>
      <c r="T49" s="103" t="inlineStr">
        <is>
          <t>Manual</t>
        </is>
      </c>
      <c r="U49" s="103" t="inlineStr">
        <is>
          <t>Aprobado</t>
        </is>
      </c>
      <c r="V49" s="103" t="inlineStr">
        <is>
          <t>EV-046</t>
        </is>
      </c>
      <c r="W49" s="103" t="inlineStr">
        <is>
          <t>Plan de Calidad, seccion de clases de prueba</t>
        </is>
      </c>
      <c r="X49" s="103" t="inlineStr">
        <is>
          <t>Juan Carlos Quintero Romero</t>
        </is>
      </c>
      <c r="Y49" s="103" t="inlineStr">
        <is>
          <t>Harryson [apellidos por completar]</t>
        </is>
      </c>
      <c r="Z49" s="103" t="inlineStr">
        <is>
          <t>Aprobado</t>
        </is>
      </c>
      <c r="AA49" s="103" t="inlineStr">
        <is>
          <t>Implementado</t>
        </is>
      </c>
      <c r="AB49" s="103" t="inlineStr">
        <is>
          <t>Aprobado</t>
        </is>
      </c>
      <c r="AC49" s="103" t="inlineStr">
        <is>
          <t>Disponible</t>
        </is>
      </c>
      <c r="AD49" s="103">
        <f>IF(AND(AA49="Implementado",AB49="Aprobado",AC49="Disponible"),"Completa",IF(COUNTA(AA49:AC49)=0,"Sin iniciar","Parcial"))</f>
        <v/>
      </c>
      <c r="AE49" s="104" t="inlineStr">
        <is>
          <t>Verificado contra el codigo</t>
        </is>
      </c>
    </row>
    <row r="50" ht="15" customHeight="1" s="71">
      <c r="A50" s="102" t="inlineStr">
        <is>
          <t>TRZ-047</t>
        </is>
      </c>
      <c r="B50" s="103" t="inlineStr">
        <is>
          <t>1.5</t>
        </is>
      </c>
      <c r="C50" s="103" t="inlineStr">
        <is>
          <t>Diagnóstico y cotización</t>
        </is>
      </c>
      <c r="D50" s="103" t="inlineStr">
        <is>
          <t>RF</t>
        </is>
      </c>
      <c r="E50" s="103" t="inlineStr">
        <is>
          <t>Media</t>
        </is>
      </c>
      <c r="F50" s="103" t="inlineStr">
        <is>
          <t>PRO-01</t>
        </is>
      </c>
      <c r="G50" s="103" t="inlineStr">
        <is>
          <t>OBJ-01</t>
        </is>
      </c>
      <c r="H50" s="103" t="inlineStr">
        <is>
          <t>STK-02</t>
        </is>
      </c>
      <c r="I50" s="103" t="inlineStr">
        <is>
          <t>ALC-08</t>
        </is>
      </c>
      <c r="J50" s="103" t="inlineStr">
        <is>
          <t>RF-047</t>
        </is>
      </c>
      <c r="K50" s="103" t="inlineStr">
        <is>
          <t>Actualización del diagnóstico</t>
        </is>
      </c>
      <c r="L50" s="103" t="inlineStr">
        <is>
          <t>—</t>
        </is>
      </c>
      <c r="M50" s="103" t="inlineStr">
        <is>
          <t>HU-047</t>
        </is>
      </c>
      <c r="N50" s="103" t="inlineStr">
        <is>
          <t>CU-03</t>
        </is>
      </c>
      <c r="O50" s="103" t="inlineStr">
        <is>
          <t>UI-007</t>
        </is>
      </c>
      <c r="P50" s="103" t="inlineStr">
        <is>
          <t>diagnostico.controller, diagnostico.service</t>
        </is>
      </c>
      <c r="Q50" s="103" t="inlineStr">
        <is>
          <t>diagnosticos, items_cotizacion</t>
        </is>
      </c>
      <c r="R50" s="103" t="inlineStr">
        <is>
          <t>PUT /api/diagnosticos/:id</t>
        </is>
      </c>
      <c r="S50" s="103" t="inlineStr">
        <is>
          <t>CP-047</t>
        </is>
      </c>
      <c r="T50" s="103" t="inlineStr">
        <is>
          <t>Manual</t>
        </is>
      </c>
      <c r="U50" s="103" t="inlineStr">
        <is>
          <t>Aprobado</t>
        </is>
      </c>
      <c r="V50" s="103" t="inlineStr">
        <is>
          <t>EV-047</t>
        </is>
      </c>
      <c r="W50" s="103" t="inlineStr">
        <is>
          <t>Plan de Calidad, seccion de clases de prueba</t>
        </is>
      </c>
      <c r="X50" s="103" t="inlineStr">
        <is>
          <t>Juan Carlos Quintero Romero</t>
        </is>
      </c>
      <c r="Y50" s="103" t="inlineStr">
        <is>
          <t>Harryson [apellidos por completar]</t>
        </is>
      </c>
      <c r="Z50" s="103" t="inlineStr">
        <is>
          <t>Aprobado</t>
        </is>
      </c>
      <c r="AA50" s="103" t="inlineStr">
        <is>
          <t>Implementado</t>
        </is>
      </c>
      <c r="AB50" s="103" t="inlineStr">
        <is>
          <t>Aprobado</t>
        </is>
      </c>
      <c r="AC50" s="103" t="inlineStr">
        <is>
          <t>Disponible</t>
        </is>
      </c>
      <c r="AD50" s="103">
        <f>IF(AND(AA50="Implementado",AB50="Aprobado",AC50="Disponible"),"Completa",IF(COUNTA(AA50:AC50)=0,"Sin iniciar","Parcial"))</f>
        <v/>
      </c>
      <c r="AE50" s="104" t="inlineStr">
        <is>
          <t>Verificado contra el codigo</t>
        </is>
      </c>
    </row>
    <row r="51" ht="15" customHeight="1" s="71">
      <c r="A51" s="102" t="inlineStr">
        <is>
          <t>TRZ-048</t>
        </is>
      </c>
      <c r="B51" s="103" t="inlineStr">
        <is>
          <t>1.5</t>
        </is>
      </c>
      <c r="C51" s="103" t="inlineStr">
        <is>
          <t>Diagnóstico y cotización</t>
        </is>
      </c>
      <c r="D51" s="103" t="inlineStr">
        <is>
          <t>RF</t>
        </is>
      </c>
      <c r="E51" s="103" t="inlineStr">
        <is>
          <t>Alta</t>
        </is>
      </c>
      <c r="F51" s="103" t="inlineStr">
        <is>
          <t>PRO-01</t>
        </is>
      </c>
      <c r="G51" s="103" t="inlineStr">
        <is>
          <t>OBJ-01</t>
        </is>
      </c>
      <c r="H51" s="103" t="inlineStr">
        <is>
          <t>STK-02</t>
        </is>
      </c>
      <c r="I51" s="103" t="inlineStr">
        <is>
          <t>ALC-08</t>
        </is>
      </c>
      <c r="J51" s="103" t="inlineStr">
        <is>
          <t>RF-048</t>
        </is>
      </c>
      <c r="K51" s="103" t="inlineStr">
        <is>
          <t>Adición de ítems a la cotización</t>
        </is>
      </c>
      <c r="L51" s="103" t="inlineStr">
        <is>
          <t>—</t>
        </is>
      </c>
      <c r="M51" s="103" t="inlineStr">
        <is>
          <t>HU-048</t>
        </is>
      </c>
      <c r="N51" s="103" t="inlineStr">
        <is>
          <t>CU-03</t>
        </is>
      </c>
      <c r="O51" s="103" t="inlineStr">
        <is>
          <t>UI-007</t>
        </is>
      </c>
      <c r="P51" s="103" t="inlineStr">
        <is>
          <t>diagnostico.controller, diagnostico.service</t>
        </is>
      </c>
      <c r="Q51" s="103" t="inlineStr">
        <is>
          <t>diagnosticos, items_cotizacion</t>
        </is>
      </c>
      <c r="R51" s="103" t="inlineStr">
        <is>
          <t>POST /api/diagnosticos/items</t>
        </is>
      </c>
      <c r="S51" s="103" t="inlineStr">
        <is>
          <t>CP-048</t>
        </is>
      </c>
      <c r="T51" s="103" t="inlineStr">
        <is>
          <t>Manual</t>
        </is>
      </c>
      <c r="U51" s="103" t="inlineStr">
        <is>
          <t>Aprobado</t>
        </is>
      </c>
      <c r="V51" s="103" t="inlineStr">
        <is>
          <t>EV-048</t>
        </is>
      </c>
      <c r="W51" s="103" t="inlineStr">
        <is>
          <t>Plan de Calidad, seccion de clases de prueba</t>
        </is>
      </c>
      <c r="X51" s="103" t="inlineStr">
        <is>
          <t>Juan Carlos Quintero Romero</t>
        </is>
      </c>
      <c r="Y51" s="103" t="inlineStr">
        <is>
          <t>Harryson [apellidos por completar]</t>
        </is>
      </c>
      <c r="Z51" s="103" t="inlineStr">
        <is>
          <t>Aprobado</t>
        </is>
      </c>
      <c r="AA51" s="103" t="inlineStr">
        <is>
          <t>Implementado</t>
        </is>
      </c>
      <c r="AB51" s="103" t="inlineStr">
        <is>
          <t>Aprobado</t>
        </is>
      </c>
      <c r="AC51" s="103" t="inlineStr">
        <is>
          <t>Disponible</t>
        </is>
      </c>
      <c r="AD51" s="103">
        <f>IF(AND(AA51="Implementado",AB51="Aprobado",AC51="Disponible"),"Completa",IF(COUNTA(AA51:AC51)=0,"Sin iniciar","Parcial"))</f>
        <v/>
      </c>
      <c r="AE51" s="104" t="inlineStr">
        <is>
          <t>Verificado contra el codigo</t>
        </is>
      </c>
    </row>
    <row r="52" ht="15" customHeight="1" s="71">
      <c r="A52" s="102" t="inlineStr">
        <is>
          <t>TRZ-049</t>
        </is>
      </c>
      <c r="B52" s="103" t="inlineStr">
        <is>
          <t>1.5</t>
        </is>
      </c>
      <c r="C52" s="103" t="inlineStr">
        <is>
          <t>Diagnóstico y cotización</t>
        </is>
      </c>
      <c r="D52" s="103" t="inlineStr">
        <is>
          <t>RF</t>
        </is>
      </c>
      <c r="E52" s="103" t="inlineStr">
        <is>
          <t>Media</t>
        </is>
      </c>
      <c r="F52" s="103" t="inlineStr">
        <is>
          <t>PRO-01</t>
        </is>
      </c>
      <c r="G52" s="103" t="inlineStr">
        <is>
          <t>OBJ-01</t>
        </is>
      </c>
      <c r="H52" s="103" t="inlineStr">
        <is>
          <t>STK-02</t>
        </is>
      </c>
      <c r="I52" s="103" t="inlineStr">
        <is>
          <t>ALC-08</t>
        </is>
      </c>
      <c r="J52" s="103" t="inlineStr">
        <is>
          <t>RF-049</t>
        </is>
      </c>
      <c r="K52" s="103" t="inlineStr">
        <is>
          <t>Retiro de ítems de la cotización</t>
        </is>
      </c>
      <c r="L52" s="103" t="inlineStr">
        <is>
          <t>—</t>
        </is>
      </c>
      <c r="M52" s="103" t="inlineStr">
        <is>
          <t>HU-049</t>
        </is>
      </c>
      <c r="N52" s="103" t="inlineStr">
        <is>
          <t>CU-03</t>
        </is>
      </c>
      <c r="O52" s="103" t="inlineStr">
        <is>
          <t>UI-007</t>
        </is>
      </c>
      <c r="P52" s="103" t="inlineStr">
        <is>
          <t>diagnostico.controller, diagnostico.service</t>
        </is>
      </c>
      <c r="Q52" s="103" t="inlineStr">
        <is>
          <t>diagnosticos, items_cotizacion</t>
        </is>
      </c>
      <c r="R52" s="103" t="inlineStr">
        <is>
          <t>DELETE /api/diagnosticos/items/:id</t>
        </is>
      </c>
      <c r="S52" s="103" t="inlineStr">
        <is>
          <t>CP-049</t>
        </is>
      </c>
      <c r="T52" s="103" t="inlineStr">
        <is>
          <t>Manual</t>
        </is>
      </c>
      <c r="U52" s="103" t="inlineStr">
        <is>
          <t>Aprobado</t>
        </is>
      </c>
      <c r="V52" s="103" t="inlineStr">
        <is>
          <t>EV-049</t>
        </is>
      </c>
      <c r="W52" s="103" t="inlineStr">
        <is>
          <t>Plan de Calidad, seccion de clases de prueba</t>
        </is>
      </c>
      <c r="X52" s="103" t="inlineStr">
        <is>
          <t>Juan Carlos Quintero Romero</t>
        </is>
      </c>
      <c r="Y52" s="103" t="inlineStr">
        <is>
          <t>Harryson [apellidos por completar]</t>
        </is>
      </c>
      <c r="Z52" s="103" t="inlineStr">
        <is>
          <t>Aprobado</t>
        </is>
      </c>
      <c r="AA52" s="103" t="inlineStr">
        <is>
          <t>Implementado</t>
        </is>
      </c>
      <c r="AB52" s="103" t="inlineStr">
        <is>
          <t>Aprobado</t>
        </is>
      </c>
      <c r="AC52" s="103" t="inlineStr">
        <is>
          <t>Disponible</t>
        </is>
      </c>
      <c r="AD52" s="103">
        <f>IF(AND(AA52="Implementado",AB52="Aprobado",AC52="Disponible"),"Completa",IF(COUNTA(AA52:AC52)=0,"Sin iniciar","Parcial"))</f>
        <v/>
      </c>
      <c r="AE52" s="104" t="inlineStr">
        <is>
          <t>Verificado contra el codigo</t>
        </is>
      </c>
    </row>
    <row r="53" ht="15" customHeight="1" s="71">
      <c r="A53" s="102" t="inlineStr">
        <is>
          <t>TRZ-050</t>
        </is>
      </c>
      <c r="B53" s="103" t="inlineStr">
        <is>
          <t>1.5</t>
        </is>
      </c>
      <c r="C53" s="103" t="inlineStr">
        <is>
          <t>Diagnóstico y cotización</t>
        </is>
      </c>
      <c r="D53" s="103" t="inlineStr">
        <is>
          <t>RF</t>
        </is>
      </c>
      <c r="E53" s="103" t="inlineStr">
        <is>
          <t>Alta</t>
        </is>
      </c>
      <c r="F53" s="103" t="inlineStr">
        <is>
          <t>PRO-01</t>
        </is>
      </c>
      <c r="G53" s="103" t="inlineStr">
        <is>
          <t>OBJ-01</t>
        </is>
      </c>
      <c r="H53" s="103" t="inlineStr">
        <is>
          <t>STK-02</t>
        </is>
      </c>
      <c r="I53" s="103" t="inlineStr">
        <is>
          <t>ALC-08</t>
        </is>
      </c>
      <c r="J53" s="103" t="inlineStr">
        <is>
          <t>RF-050</t>
        </is>
      </c>
      <c r="K53" s="103" t="inlineStr">
        <is>
          <t>Cálculo del total de la cotización</t>
        </is>
      </c>
      <c r="L53" s="103" t="inlineStr">
        <is>
          <t>RN-028</t>
        </is>
      </c>
      <c r="M53" s="103" t="inlineStr">
        <is>
          <t>HU-050</t>
        </is>
      </c>
      <c r="N53" s="103" t="inlineStr">
        <is>
          <t>CU-03</t>
        </is>
      </c>
      <c r="O53" s="103" t="inlineStr">
        <is>
          <t>UI-007</t>
        </is>
      </c>
      <c r="P53" s="103" t="inlineStr">
        <is>
          <t>diagnostico.controller, diagnostico.service</t>
        </is>
      </c>
      <c r="Q53" s="103" t="inlineStr">
        <is>
          <t>diagnosticos, items_cotizacion</t>
        </is>
      </c>
      <c r="R53" s="103" t="inlineStr">
        <is>
          <t>GET /api/diagnosticos/:id/total</t>
        </is>
      </c>
      <c r="S53" s="103" t="inlineStr">
        <is>
          <t>CP-050</t>
        </is>
      </c>
      <c r="T53" s="103" t="inlineStr">
        <is>
          <t>Manual</t>
        </is>
      </c>
      <c r="U53" s="103" t="inlineStr">
        <is>
          <t>Aprobado</t>
        </is>
      </c>
      <c r="V53" s="103" t="inlineStr">
        <is>
          <t>EV-050</t>
        </is>
      </c>
      <c r="W53" s="103" t="inlineStr">
        <is>
          <t>Plan de Calidad, seccion de clases de prueba</t>
        </is>
      </c>
      <c r="X53" s="103" t="inlineStr">
        <is>
          <t>Juan Carlos Quintero Romero</t>
        </is>
      </c>
      <c r="Y53" s="103" t="inlineStr">
        <is>
          <t>Harryson [apellidos por completar]</t>
        </is>
      </c>
      <c r="Z53" s="103" t="inlineStr">
        <is>
          <t>Aprobado</t>
        </is>
      </c>
      <c r="AA53" s="103" t="inlineStr">
        <is>
          <t>Implementado</t>
        </is>
      </c>
      <c r="AB53" s="103" t="inlineStr">
        <is>
          <t>Aprobado</t>
        </is>
      </c>
      <c r="AC53" s="103" t="inlineStr">
        <is>
          <t>Disponible</t>
        </is>
      </c>
      <c r="AD53" s="103">
        <f>IF(AND(AA53="Implementado",AB53="Aprobado",AC53="Disponible"),"Completa",IF(COUNTA(AA53:AC53)=0,"Sin iniciar","Parcial"))</f>
        <v/>
      </c>
      <c r="AE53" s="104" t="inlineStr">
        <is>
          <t>Verificado contra el codigo</t>
        </is>
      </c>
    </row>
    <row r="54" ht="15" customHeight="1" s="71">
      <c r="A54" s="102" t="inlineStr">
        <is>
          <t>TRZ-051</t>
        </is>
      </c>
      <c r="B54" s="103" t="inlineStr">
        <is>
          <t>1.5</t>
        </is>
      </c>
      <c r="C54" s="103" t="inlineStr">
        <is>
          <t>Inventario de repuestos</t>
        </is>
      </c>
      <c r="D54" s="103" t="inlineStr">
        <is>
          <t>RF</t>
        </is>
      </c>
      <c r="E54" s="103" t="inlineStr">
        <is>
          <t>Alta</t>
        </is>
      </c>
      <c r="F54" s="103" t="inlineStr">
        <is>
          <t>PRO-01</t>
        </is>
      </c>
      <c r="G54" s="103" t="inlineStr">
        <is>
          <t>OBJ-01</t>
        </is>
      </c>
      <c r="H54" s="103" t="inlineStr">
        <is>
          <t>STK-02</t>
        </is>
      </c>
      <c r="I54" s="103" t="inlineStr">
        <is>
          <t>ALC-09</t>
        </is>
      </c>
      <c r="J54" s="103" t="inlineStr">
        <is>
          <t>RF-051</t>
        </is>
      </c>
      <c r="K54" s="103" t="inlineStr">
        <is>
          <t>Registro de repuesto</t>
        </is>
      </c>
      <c r="L54" s="103" t="inlineStr">
        <is>
          <t>RN-024</t>
        </is>
      </c>
      <c r="M54" s="103" t="inlineStr">
        <is>
          <t>HU-051</t>
        </is>
      </c>
      <c r="N54" s="103" t="inlineStr">
        <is>
          <t>—</t>
        </is>
      </c>
      <c r="O54" s="103" t="inlineStr">
        <is>
          <t>UI-012</t>
        </is>
      </c>
      <c r="P54" s="103" t="inlineStr">
        <is>
          <t>inventario.controller, inventario.service</t>
        </is>
      </c>
      <c r="Q54" s="103" t="inlineStr">
        <is>
          <t>repuestos, movimientos_inventario</t>
        </is>
      </c>
      <c r="R54" s="103" t="inlineStr">
        <is>
          <t>POST /api/inventario/repuestos</t>
        </is>
      </c>
      <c r="S54" s="103" t="inlineStr">
        <is>
          <t>CP-051</t>
        </is>
      </c>
      <c r="T54" s="103" t="inlineStr">
        <is>
          <t>Manual</t>
        </is>
      </c>
      <c r="U54" s="103" t="inlineStr">
        <is>
          <t>Aprobado</t>
        </is>
      </c>
      <c r="V54" s="103" t="inlineStr">
        <is>
          <t>EV-051</t>
        </is>
      </c>
      <c r="W54" s="103" t="inlineStr">
        <is>
          <t>Plan de Calidad, seccion de clases de prueba</t>
        </is>
      </c>
      <c r="X54" s="103" t="inlineStr">
        <is>
          <t>Juan Carlos Quintero Romero</t>
        </is>
      </c>
      <c r="Y54" s="103" t="inlineStr">
        <is>
          <t>Harryson [apellidos por completar]</t>
        </is>
      </c>
      <c r="Z54" s="103" t="inlineStr">
        <is>
          <t>Aprobado</t>
        </is>
      </c>
      <c r="AA54" s="103" t="inlineStr">
        <is>
          <t>Implementado</t>
        </is>
      </c>
      <c r="AB54" s="103" t="inlineStr">
        <is>
          <t>Aprobado</t>
        </is>
      </c>
      <c r="AC54" s="103" t="inlineStr">
        <is>
          <t>Disponible</t>
        </is>
      </c>
      <c r="AD54" s="103">
        <f>IF(AND(AA54="Implementado",AB54="Aprobado",AC54="Disponible"),"Completa",IF(COUNTA(AA54:AC54)=0,"Sin iniciar","Parcial"))</f>
        <v/>
      </c>
      <c r="AE54" s="104" t="inlineStr">
        <is>
          <t>Verificado contra el codigo</t>
        </is>
      </c>
    </row>
    <row r="55" ht="15" customHeight="1" s="71">
      <c r="A55" s="102" t="inlineStr">
        <is>
          <t>TRZ-052</t>
        </is>
      </c>
      <c r="B55" s="103" t="inlineStr">
        <is>
          <t>1.5</t>
        </is>
      </c>
      <c r="C55" s="103" t="inlineStr">
        <is>
          <t>Inventario de repuestos</t>
        </is>
      </c>
      <c r="D55" s="103" t="inlineStr">
        <is>
          <t>RF</t>
        </is>
      </c>
      <c r="E55" s="103" t="inlineStr">
        <is>
          <t>Alta</t>
        </is>
      </c>
      <c r="F55" s="103" t="inlineStr">
        <is>
          <t>PRO-01</t>
        </is>
      </c>
      <c r="G55" s="103" t="inlineStr">
        <is>
          <t>OBJ-01</t>
        </is>
      </c>
      <c r="H55" s="103" t="inlineStr">
        <is>
          <t>STK-02</t>
        </is>
      </c>
      <c r="I55" s="103" t="inlineStr">
        <is>
          <t>ALC-09</t>
        </is>
      </c>
      <c r="J55" s="103" t="inlineStr">
        <is>
          <t>RF-052</t>
        </is>
      </c>
      <c r="K55" s="103" t="inlineStr">
        <is>
          <t>Listado de repuestos</t>
        </is>
      </c>
      <c r="L55" s="103" t="inlineStr">
        <is>
          <t>—</t>
        </is>
      </c>
      <c r="M55" s="103" t="inlineStr">
        <is>
          <t>HU-052</t>
        </is>
      </c>
      <c r="N55" s="103" t="inlineStr">
        <is>
          <t>—</t>
        </is>
      </c>
      <c r="O55" s="103" t="inlineStr">
        <is>
          <t>UI-012</t>
        </is>
      </c>
      <c r="P55" s="103" t="inlineStr">
        <is>
          <t>inventario.controller, inventario.service</t>
        </is>
      </c>
      <c r="Q55" s="103" t="inlineStr">
        <is>
          <t>repuestos, movimientos_inventario</t>
        </is>
      </c>
      <c r="R55" s="103" t="inlineStr">
        <is>
          <t>GET /api/inventario/repuestos</t>
        </is>
      </c>
      <c r="S55" s="103" t="inlineStr">
        <is>
          <t>CP-052</t>
        </is>
      </c>
      <c r="T55" s="103" t="inlineStr">
        <is>
          <t>Manual</t>
        </is>
      </c>
      <c r="U55" s="103" t="inlineStr">
        <is>
          <t>Aprobado</t>
        </is>
      </c>
      <c r="V55" s="103" t="inlineStr">
        <is>
          <t>EV-052</t>
        </is>
      </c>
      <c r="W55" s="103" t="inlineStr">
        <is>
          <t>Plan de Calidad, seccion de clases de prueba</t>
        </is>
      </c>
      <c r="X55" s="103" t="inlineStr">
        <is>
          <t>Juan Carlos Quintero Romero</t>
        </is>
      </c>
      <c r="Y55" s="103" t="inlineStr">
        <is>
          <t>Harryson [apellidos por completar]</t>
        </is>
      </c>
      <c r="Z55" s="103" t="inlineStr">
        <is>
          <t>Aprobado</t>
        </is>
      </c>
      <c r="AA55" s="103" t="inlineStr">
        <is>
          <t>Implementado</t>
        </is>
      </c>
      <c r="AB55" s="103" t="inlineStr">
        <is>
          <t>Aprobado</t>
        </is>
      </c>
      <c r="AC55" s="103" t="inlineStr">
        <is>
          <t>Disponible</t>
        </is>
      </c>
      <c r="AD55" s="103">
        <f>IF(AND(AA55="Implementado",AB55="Aprobado",AC55="Disponible"),"Completa",IF(COUNTA(AA55:AC55)=0,"Sin iniciar","Parcial"))</f>
        <v/>
      </c>
      <c r="AE55" s="104" t="inlineStr">
        <is>
          <t>Verificado contra el codigo</t>
        </is>
      </c>
    </row>
    <row r="56" ht="15" customHeight="1" s="71">
      <c r="A56" s="102" t="inlineStr">
        <is>
          <t>TRZ-053</t>
        </is>
      </c>
      <c r="B56" s="103" t="inlineStr">
        <is>
          <t>1.5</t>
        </is>
      </c>
      <c r="C56" s="103" t="inlineStr">
        <is>
          <t>Inventario de repuestos</t>
        </is>
      </c>
      <c r="D56" s="103" t="inlineStr">
        <is>
          <t>RF</t>
        </is>
      </c>
      <c r="E56" s="103" t="inlineStr">
        <is>
          <t>Alta</t>
        </is>
      </c>
      <c r="F56" s="103" t="inlineStr">
        <is>
          <t>PRO-01</t>
        </is>
      </c>
      <c r="G56" s="103" t="inlineStr">
        <is>
          <t>OBJ-01</t>
        </is>
      </c>
      <c r="H56" s="103" t="inlineStr">
        <is>
          <t>STK-02</t>
        </is>
      </c>
      <c r="I56" s="103" t="inlineStr">
        <is>
          <t>ALC-09</t>
        </is>
      </c>
      <c r="J56" s="103" t="inlineStr">
        <is>
          <t>RF-053</t>
        </is>
      </c>
      <c r="K56" s="103" t="inlineStr">
        <is>
          <t>Alerta de existencias bajo mínimo</t>
        </is>
      </c>
      <c r="L56" s="103" t="inlineStr">
        <is>
          <t>RN-025</t>
        </is>
      </c>
      <c r="M56" s="103" t="inlineStr">
        <is>
          <t>HU-053</t>
        </is>
      </c>
      <c r="N56" s="103" t="inlineStr">
        <is>
          <t>—</t>
        </is>
      </c>
      <c r="O56" s="103" t="inlineStr">
        <is>
          <t>UI-012</t>
        </is>
      </c>
      <c r="P56" s="103" t="inlineStr">
        <is>
          <t>inventario.controller, inventario.service</t>
        </is>
      </c>
      <c r="Q56" s="103" t="inlineStr">
        <is>
          <t>repuestos, movimientos_inventario</t>
        </is>
      </c>
      <c r="R56" s="103" t="inlineStr">
        <is>
          <t>GET /api/inventario/repuestos/stock-bajo</t>
        </is>
      </c>
      <c r="S56" s="103" t="inlineStr">
        <is>
          <t>CP-053</t>
        </is>
      </c>
      <c r="T56" s="103" t="inlineStr">
        <is>
          <t>Manual</t>
        </is>
      </c>
      <c r="U56" s="103" t="inlineStr">
        <is>
          <t>Aprobado</t>
        </is>
      </c>
      <c r="V56" s="103" t="inlineStr">
        <is>
          <t>EV-053</t>
        </is>
      </c>
      <c r="W56" s="103" t="inlineStr">
        <is>
          <t>Plan de Calidad, seccion de clases de prueba</t>
        </is>
      </c>
      <c r="X56" s="103" t="inlineStr">
        <is>
          <t>Juan Carlos Quintero Romero</t>
        </is>
      </c>
      <c r="Y56" s="103" t="inlineStr">
        <is>
          <t>Harryson [apellidos por completar]</t>
        </is>
      </c>
      <c r="Z56" s="103" t="inlineStr">
        <is>
          <t>Aprobado</t>
        </is>
      </c>
      <c r="AA56" s="103" t="inlineStr">
        <is>
          <t>Implementado</t>
        </is>
      </c>
      <c r="AB56" s="103" t="inlineStr">
        <is>
          <t>Aprobado</t>
        </is>
      </c>
      <c r="AC56" s="103" t="inlineStr">
        <is>
          <t>Disponible</t>
        </is>
      </c>
      <c r="AD56" s="103">
        <f>IF(AND(AA56="Implementado",AB56="Aprobado",AC56="Disponible"),"Completa",IF(COUNTA(AA56:AC56)=0,"Sin iniciar","Parcial"))</f>
        <v/>
      </c>
      <c r="AE56" s="104" t="inlineStr">
        <is>
          <t>Verificado contra el codigo</t>
        </is>
      </c>
    </row>
    <row r="57" ht="15" customHeight="1" s="71">
      <c r="A57" s="102" t="inlineStr">
        <is>
          <t>TRZ-054</t>
        </is>
      </c>
      <c r="B57" s="103" t="inlineStr">
        <is>
          <t>1.5</t>
        </is>
      </c>
      <c r="C57" s="103" t="inlineStr">
        <is>
          <t>Inventario de repuestos</t>
        </is>
      </c>
      <c r="D57" s="103" t="inlineStr">
        <is>
          <t>RF</t>
        </is>
      </c>
      <c r="E57" s="103" t="inlineStr">
        <is>
          <t>Media</t>
        </is>
      </c>
      <c r="F57" s="103" t="inlineStr">
        <is>
          <t>PRO-01</t>
        </is>
      </c>
      <c r="G57" s="103" t="inlineStr">
        <is>
          <t>OBJ-01</t>
        </is>
      </c>
      <c r="H57" s="103" t="inlineStr">
        <is>
          <t>STK-02</t>
        </is>
      </c>
      <c r="I57" s="103" t="inlineStr">
        <is>
          <t>ALC-09</t>
        </is>
      </c>
      <c r="J57" s="103" t="inlineStr">
        <is>
          <t>RF-054</t>
        </is>
      </c>
      <c r="K57" s="103" t="inlineStr">
        <is>
          <t>Actualización de repuesto</t>
        </is>
      </c>
      <c r="L57" s="103" t="inlineStr">
        <is>
          <t>—</t>
        </is>
      </c>
      <c r="M57" s="103" t="inlineStr">
        <is>
          <t>HU-054</t>
        </is>
      </c>
      <c r="N57" s="103" t="inlineStr">
        <is>
          <t>—</t>
        </is>
      </c>
      <c r="O57" s="103" t="inlineStr">
        <is>
          <t>UI-012</t>
        </is>
      </c>
      <c r="P57" s="103" t="inlineStr">
        <is>
          <t>inventario.controller, inventario.service</t>
        </is>
      </c>
      <c r="Q57" s="103" t="inlineStr">
        <is>
          <t>repuestos, movimientos_inventario</t>
        </is>
      </c>
      <c r="R57" s="103" t="inlineStr">
        <is>
          <t>PUT /api/inventario/repuestos/:id</t>
        </is>
      </c>
      <c r="S57" s="103" t="inlineStr">
        <is>
          <t>CP-054</t>
        </is>
      </c>
      <c r="T57" s="103" t="inlineStr">
        <is>
          <t>Manual</t>
        </is>
      </c>
      <c r="U57" s="103" t="inlineStr">
        <is>
          <t>Aprobado</t>
        </is>
      </c>
      <c r="V57" s="103" t="inlineStr">
        <is>
          <t>EV-054</t>
        </is>
      </c>
      <c r="W57" s="103" t="inlineStr">
        <is>
          <t>Plan de Calidad, seccion de clases de prueba</t>
        </is>
      </c>
      <c r="X57" s="103" t="inlineStr">
        <is>
          <t>Juan Carlos Quintero Romero</t>
        </is>
      </c>
      <c r="Y57" s="103" t="inlineStr">
        <is>
          <t>Harryson [apellidos por completar]</t>
        </is>
      </c>
      <c r="Z57" s="103" t="inlineStr">
        <is>
          <t>Aprobado</t>
        </is>
      </c>
      <c r="AA57" s="103" t="inlineStr">
        <is>
          <t>Implementado</t>
        </is>
      </c>
      <c r="AB57" s="103" t="inlineStr">
        <is>
          <t>Aprobado</t>
        </is>
      </c>
      <c r="AC57" s="103" t="inlineStr">
        <is>
          <t>Disponible</t>
        </is>
      </c>
      <c r="AD57" s="103">
        <f>IF(AND(AA57="Implementado",AB57="Aprobado",AC57="Disponible"),"Completa",IF(COUNTA(AA57:AC57)=0,"Sin iniciar","Parcial"))</f>
        <v/>
      </c>
      <c r="AE57" s="104" t="inlineStr">
        <is>
          <t>Verificado contra el codigo</t>
        </is>
      </c>
    </row>
    <row r="58" ht="15" customHeight="1" s="71">
      <c r="A58" s="102" t="inlineStr">
        <is>
          <t>TRZ-055</t>
        </is>
      </c>
      <c r="B58" s="103" t="inlineStr">
        <is>
          <t>1.5</t>
        </is>
      </c>
      <c r="C58" s="103" t="inlineStr">
        <is>
          <t>Inventario de repuestos</t>
        </is>
      </c>
      <c r="D58" s="103" t="inlineStr">
        <is>
          <t>RF</t>
        </is>
      </c>
      <c r="E58" s="103" t="inlineStr">
        <is>
          <t>Baja</t>
        </is>
      </c>
      <c r="F58" s="103" t="inlineStr">
        <is>
          <t>PRO-01</t>
        </is>
      </c>
      <c r="G58" s="103" t="inlineStr">
        <is>
          <t>OBJ-01</t>
        </is>
      </c>
      <c r="H58" s="103" t="inlineStr">
        <is>
          <t>STK-02</t>
        </is>
      </c>
      <c r="I58" s="103" t="inlineStr">
        <is>
          <t>ALC-09</t>
        </is>
      </c>
      <c r="J58" s="103" t="inlineStr">
        <is>
          <t>RF-055</t>
        </is>
      </c>
      <c r="K58" s="103" t="inlineStr">
        <is>
          <t>Baja de repuesto</t>
        </is>
      </c>
      <c r="L58" s="103" t="inlineStr">
        <is>
          <t>—</t>
        </is>
      </c>
      <c r="M58" s="103" t="inlineStr">
        <is>
          <t>HU-055</t>
        </is>
      </c>
      <c r="N58" s="103" t="inlineStr">
        <is>
          <t>—</t>
        </is>
      </c>
      <c r="O58" s="103" t="inlineStr">
        <is>
          <t>UI-012</t>
        </is>
      </c>
      <c r="P58" s="103" t="inlineStr">
        <is>
          <t>inventario.controller, inventario.service</t>
        </is>
      </c>
      <c r="Q58" s="103" t="inlineStr">
        <is>
          <t>repuestos, movimientos_inventario</t>
        </is>
      </c>
      <c r="R58" s="103" t="inlineStr">
        <is>
          <t>DELETE /api/inventario/repuestos/:id</t>
        </is>
      </c>
      <c r="S58" s="103" t="inlineStr">
        <is>
          <t>CP-055</t>
        </is>
      </c>
      <c r="T58" s="103" t="inlineStr">
        <is>
          <t>Manual</t>
        </is>
      </c>
      <c r="U58" s="103" t="inlineStr">
        <is>
          <t>Aprobado</t>
        </is>
      </c>
      <c r="V58" s="103" t="inlineStr">
        <is>
          <t>EV-055</t>
        </is>
      </c>
      <c r="W58" s="103" t="inlineStr">
        <is>
          <t>Plan de Calidad, seccion de clases de prueba</t>
        </is>
      </c>
      <c r="X58" s="103" t="inlineStr">
        <is>
          <t>Juan Carlos Quintero Romero</t>
        </is>
      </c>
      <c r="Y58" s="103" t="inlineStr">
        <is>
          <t>Harryson [apellidos por completar]</t>
        </is>
      </c>
      <c r="Z58" s="103" t="inlineStr">
        <is>
          <t>Aprobado</t>
        </is>
      </c>
      <c r="AA58" s="103" t="inlineStr">
        <is>
          <t>Implementado</t>
        </is>
      </c>
      <c r="AB58" s="103" t="inlineStr">
        <is>
          <t>Aprobado</t>
        </is>
      </c>
      <c r="AC58" s="103" t="inlineStr">
        <is>
          <t>Disponible</t>
        </is>
      </c>
      <c r="AD58" s="103">
        <f>IF(AND(AA58="Implementado",AB58="Aprobado",AC58="Disponible"),"Completa",IF(COUNTA(AA58:AC58)=0,"Sin iniciar","Parcial"))</f>
        <v/>
      </c>
      <c r="AE58" s="104" t="inlineStr">
        <is>
          <t>Verificado contra el codigo</t>
        </is>
      </c>
    </row>
    <row r="59" ht="15" customHeight="1" s="71">
      <c r="A59" s="102" t="inlineStr">
        <is>
          <t>TRZ-056</t>
        </is>
      </c>
      <c r="B59" s="103" t="inlineStr">
        <is>
          <t>1.5</t>
        </is>
      </c>
      <c r="C59" s="103" t="inlineStr">
        <is>
          <t>Inventario de repuestos</t>
        </is>
      </c>
      <c r="D59" s="103" t="inlineStr">
        <is>
          <t>RF</t>
        </is>
      </c>
      <c r="E59" s="103" t="inlineStr">
        <is>
          <t>Alta</t>
        </is>
      </c>
      <c r="F59" s="103" t="inlineStr">
        <is>
          <t>PRO-01</t>
        </is>
      </c>
      <c r="G59" s="103" t="inlineStr">
        <is>
          <t>OBJ-01</t>
        </is>
      </c>
      <c r="H59" s="103" t="inlineStr">
        <is>
          <t>STK-02</t>
        </is>
      </c>
      <c r="I59" s="103" t="inlineStr">
        <is>
          <t>ALC-09</t>
        </is>
      </c>
      <c r="J59" s="103" t="inlineStr">
        <is>
          <t>RF-056</t>
        </is>
      </c>
      <c r="K59" s="103" t="inlineStr">
        <is>
          <t>Registro de movimiento de inventario</t>
        </is>
      </c>
      <c r="L59" s="103" t="inlineStr">
        <is>
          <t>—</t>
        </is>
      </c>
      <c r="M59" s="103" t="inlineStr">
        <is>
          <t>HU-056</t>
        </is>
      </c>
      <c r="N59" s="103" t="inlineStr">
        <is>
          <t>—</t>
        </is>
      </c>
      <c r="O59" s="103" t="inlineStr">
        <is>
          <t>UI-012</t>
        </is>
      </c>
      <c r="P59" s="103" t="inlineStr">
        <is>
          <t>inventario.controller, inventario.service</t>
        </is>
      </c>
      <c r="Q59" s="103" t="inlineStr">
        <is>
          <t>repuestos, movimientos_inventario</t>
        </is>
      </c>
      <c r="R59" s="103" t="inlineStr">
        <is>
          <t>POST /api/inventario/movimientos</t>
        </is>
      </c>
      <c r="S59" s="103" t="inlineStr">
        <is>
          <t>CP-056</t>
        </is>
      </c>
      <c r="T59" s="103" t="inlineStr">
        <is>
          <t>Manual</t>
        </is>
      </c>
      <c r="U59" s="103" t="inlineStr">
        <is>
          <t>Aprobado</t>
        </is>
      </c>
      <c r="V59" s="103" t="inlineStr">
        <is>
          <t>EV-056</t>
        </is>
      </c>
      <c r="W59" s="103" t="inlineStr">
        <is>
          <t>Plan de Calidad, seccion de clases de prueba</t>
        </is>
      </c>
      <c r="X59" s="103" t="inlineStr">
        <is>
          <t>Juan Carlos Quintero Romero</t>
        </is>
      </c>
      <c r="Y59" s="103" t="inlineStr">
        <is>
          <t>Harryson [apellidos por completar]</t>
        </is>
      </c>
      <c r="Z59" s="103" t="inlineStr">
        <is>
          <t>Aprobado</t>
        </is>
      </c>
      <c r="AA59" s="103" t="inlineStr">
        <is>
          <t>Implementado</t>
        </is>
      </c>
      <c r="AB59" s="103" t="inlineStr">
        <is>
          <t>Aprobado</t>
        </is>
      </c>
      <c r="AC59" s="103" t="inlineStr">
        <is>
          <t>Disponible</t>
        </is>
      </c>
      <c r="AD59" s="103">
        <f>IF(AND(AA59="Implementado",AB59="Aprobado",AC59="Disponible"),"Completa",IF(COUNTA(AA59:AC59)=0,"Sin iniciar","Parcial"))</f>
        <v/>
      </c>
      <c r="AE59" s="104" t="inlineStr">
        <is>
          <t>Verificado contra el codigo</t>
        </is>
      </c>
    </row>
    <row r="60" ht="15" customHeight="1" s="71">
      <c r="A60" s="102" t="inlineStr">
        <is>
          <t>TRZ-057</t>
        </is>
      </c>
      <c r="B60" s="103" t="inlineStr">
        <is>
          <t>1.5</t>
        </is>
      </c>
      <c r="C60" s="103" t="inlineStr">
        <is>
          <t>Inventario de repuestos</t>
        </is>
      </c>
      <c r="D60" s="103" t="inlineStr">
        <is>
          <t>RF</t>
        </is>
      </c>
      <c r="E60" s="103" t="inlineStr">
        <is>
          <t>Media</t>
        </is>
      </c>
      <c r="F60" s="103" t="inlineStr">
        <is>
          <t>PRO-01</t>
        </is>
      </c>
      <c r="G60" s="103" t="inlineStr">
        <is>
          <t>OBJ-01</t>
        </is>
      </c>
      <c r="H60" s="103" t="inlineStr">
        <is>
          <t>STK-02</t>
        </is>
      </c>
      <c r="I60" s="103" t="inlineStr">
        <is>
          <t>ALC-09</t>
        </is>
      </c>
      <c r="J60" s="103" t="inlineStr">
        <is>
          <t>RF-057</t>
        </is>
      </c>
      <c r="K60" s="103" t="inlineStr">
        <is>
          <t>Consulta de movimientos</t>
        </is>
      </c>
      <c r="L60" s="103" t="inlineStr">
        <is>
          <t>—</t>
        </is>
      </c>
      <c r="M60" s="103" t="inlineStr">
        <is>
          <t>HU-057</t>
        </is>
      </c>
      <c r="N60" s="103" t="inlineStr">
        <is>
          <t>—</t>
        </is>
      </c>
      <c r="O60" s="103" t="inlineStr">
        <is>
          <t>UI-012</t>
        </is>
      </c>
      <c r="P60" s="103" t="inlineStr">
        <is>
          <t>inventario.controller, inventario.service</t>
        </is>
      </c>
      <c r="Q60" s="103" t="inlineStr">
        <is>
          <t>repuestos, movimientos_inventario</t>
        </is>
      </c>
      <c r="R60" s="103" t="inlineStr">
        <is>
          <t>GET /api/inventario/movimientos</t>
        </is>
      </c>
      <c r="S60" s="103" t="inlineStr">
        <is>
          <t>CP-057</t>
        </is>
      </c>
      <c r="T60" s="103" t="inlineStr">
        <is>
          <t>Manual</t>
        </is>
      </c>
      <c r="U60" s="103" t="inlineStr">
        <is>
          <t>Aprobado</t>
        </is>
      </c>
      <c r="V60" s="103" t="inlineStr">
        <is>
          <t>EV-057</t>
        </is>
      </c>
      <c r="W60" s="103" t="inlineStr">
        <is>
          <t>Plan de Calidad, seccion de clases de prueba</t>
        </is>
      </c>
      <c r="X60" s="103" t="inlineStr">
        <is>
          <t>Juan Carlos Quintero Romero</t>
        </is>
      </c>
      <c r="Y60" s="103" t="inlineStr">
        <is>
          <t>Harryson [apellidos por completar]</t>
        </is>
      </c>
      <c r="Z60" s="103" t="inlineStr">
        <is>
          <t>Aprobado</t>
        </is>
      </c>
      <c r="AA60" s="103" t="inlineStr">
        <is>
          <t>Implementado</t>
        </is>
      </c>
      <c r="AB60" s="103" t="inlineStr">
        <is>
          <t>Aprobado</t>
        </is>
      </c>
      <c r="AC60" s="103" t="inlineStr">
        <is>
          <t>Disponible</t>
        </is>
      </c>
      <c r="AD60" s="103">
        <f>IF(AND(AA60="Implementado",AB60="Aprobado",AC60="Disponible"),"Completa",IF(COUNTA(AA60:AC60)=0,"Sin iniciar","Parcial"))</f>
        <v/>
      </c>
      <c r="AE60" s="104" t="inlineStr">
        <is>
          <t>Verificado contra el codigo</t>
        </is>
      </c>
    </row>
    <row r="61" ht="15" customHeight="1" s="71">
      <c r="A61" s="102" t="inlineStr">
        <is>
          <t>TRZ-058</t>
        </is>
      </c>
      <c r="B61" s="103" t="inlineStr">
        <is>
          <t>1.5</t>
        </is>
      </c>
      <c r="C61" s="103" t="inlineStr">
        <is>
          <t>Facturación</t>
        </is>
      </c>
      <c r="D61" s="103" t="inlineStr">
        <is>
          <t>RF</t>
        </is>
      </c>
      <c r="E61" s="103" t="inlineStr">
        <is>
          <t>Alta</t>
        </is>
      </c>
      <c r="F61" s="103" t="inlineStr">
        <is>
          <t>PRO-01</t>
        </is>
      </c>
      <c r="G61" s="103" t="inlineStr">
        <is>
          <t>OBJ-01</t>
        </is>
      </c>
      <c r="H61" s="103" t="inlineStr">
        <is>
          <t>STK-02</t>
        </is>
      </c>
      <c r="I61" s="103" t="inlineStr">
        <is>
          <t>ALC-10</t>
        </is>
      </c>
      <c r="J61" s="103" t="inlineStr">
        <is>
          <t>RF-058</t>
        </is>
      </c>
      <c r="K61" s="103" t="inlineStr">
        <is>
          <t>Generación de factura</t>
        </is>
      </c>
      <c r="L61" s="103" t="inlineStr">
        <is>
          <t>RN-026, RN-027</t>
        </is>
      </c>
      <c r="M61" s="103" t="inlineStr">
        <is>
          <t>HU-058</t>
        </is>
      </c>
      <c r="N61" s="103" t="inlineStr">
        <is>
          <t>CU-07</t>
        </is>
      </c>
      <c r="O61" s="103" t="inlineStr">
        <is>
          <t>UI-013</t>
        </is>
      </c>
      <c r="P61" s="103" t="inlineStr">
        <is>
          <t>factura.controller, factura.service</t>
        </is>
      </c>
      <c r="Q61" s="103" t="inlineStr">
        <is>
          <t>facturas</t>
        </is>
      </c>
      <c r="R61" s="103" t="inlineStr">
        <is>
          <t>POST /api/facturas</t>
        </is>
      </c>
      <c r="S61" s="103" t="inlineStr">
        <is>
          <t>CP-058</t>
        </is>
      </c>
      <c r="T61" s="103" t="inlineStr">
        <is>
          <t>Manual</t>
        </is>
      </c>
      <c r="U61" s="103" t="inlineStr">
        <is>
          <t>Aprobado</t>
        </is>
      </c>
      <c r="V61" s="103" t="inlineStr">
        <is>
          <t>EV-058</t>
        </is>
      </c>
      <c r="W61" s="103" t="inlineStr">
        <is>
          <t>Plan de Calidad, seccion de clases de prueba</t>
        </is>
      </c>
      <c r="X61" s="103" t="inlineStr">
        <is>
          <t>Juan Carlos Quintero Romero</t>
        </is>
      </c>
      <c r="Y61" s="103" t="inlineStr">
        <is>
          <t>Harryson [apellidos por completar]</t>
        </is>
      </c>
      <c r="Z61" s="103" t="inlineStr">
        <is>
          <t>Aprobado</t>
        </is>
      </c>
      <c r="AA61" s="103" t="inlineStr">
        <is>
          <t>Implementado</t>
        </is>
      </c>
      <c r="AB61" s="103" t="inlineStr">
        <is>
          <t>Aprobado</t>
        </is>
      </c>
      <c r="AC61" s="103" t="inlineStr">
        <is>
          <t>Disponible</t>
        </is>
      </c>
      <c r="AD61" s="103">
        <f>IF(AND(AA61="Implementado",AB61="Aprobado",AC61="Disponible"),"Completa",IF(COUNTA(AA61:AC61)=0,"Sin iniciar","Parcial"))</f>
        <v/>
      </c>
      <c r="AE61" s="104" t="inlineStr">
        <is>
          <t>Verificado contra el codigo</t>
        </is>
      </c>
    </row>
    <row r="62" ht="15" customHeight="1" s="71">
      <c r="A62" s="102" t="inlineStr">
        <is>
          <t>TRZ-059</t>
        </is>
      </c>
      <c r="B62" s="103" t="inlineStr">
        <is>
          <t>1.5</t>
        </is>
      </c>
      <c r="C62" s="103" t="inlineStr">
        <is>
          <t>Facturación</t>
        </is>
      </c>
      <c r="D62" s="103" t="inlineStr">
        <is>
          <t>RF</t>
        </is>
      </c>
      <c r="E62" s="103" t="inlineStr">
        <is>
          <t>Media</t>
        </is>
      </c>
      <c r="F62" s="103" t="inlineStr">
        <is>
          <t>PRO-01</t>
        </is>
      </c>
      <c r="G62" s="103" t="inlineStr">
        <is>
          <t>OBJ-01</t>
        </is>
      </c>
      <c r="H62" s="103" t="inlineStr">
        <is>
          <t>STK-02</t>
        </is>
      </c>
      <c r="I62" s="103" t="inlineStr">
        <is>
          <t>ALC-10</t>
        </is>
      </c>
      <c r="J62" s="103" t="inlineStr">
        <is>
          <t>RF-059</t>
        </is>
      </c>
      <c r="K62" s="103" t="inlineStr">
        <is>
          <t>Listado de facturas</t>
        </is>
      </c>
      <c r="L62" s="103" t="inlineStr">
        <is>
          <t>—</t>
        </is>
      </c>
      <c r="M62" s="103" t="inlineStr">
        <is>
          <t>HU-059</t>
        </is>
      </c>
      <c r="N62" s="103" t="inlineStr">
        <is>
          <t>CU-07</t>
        </is>
      </c>
      <c r="O62" s="103" t="inlineStr">
        <is>
          <t>UI-013</t>
        </is>
      </c>
      <c r="P62" s="103" t="inlineStr">
        <is>
          <t>factura.controller, factura.service</t>
        </is>
      </c>
      <c r="Q62" s="103" t="inlineStr">
        <is>
          <t>facturas</t>
        </is>
      </c>
      <c r="R62" s="103" t="inlineStr">
        <is>
          <t>GET /api/facturas</t>
        </is>
      </c>
      <c r="S62" s="103" t="inlineStr">
        <is>
          <t>CP-059</t>
        </is>
      </c>
      <c r="T62" s="103" t="inlineStr">
        <is>
          <t>Manual</t>
        </is>
      </c>
      <c r="U62" s="103" t="inlineStr">
        <is>
          <t>Aprobado</t>
        </is>
      </c>
      <c r="V62" s="103" t="inlineStr">
        <is>
          <t>EV-059</t>
        </is>
      </c>
      <c r="W62" s="103" t="inlineStr">
        <is>
          <t>Plan de Calidad, seccion de clases de prueba</t>
        </is>
      </c>
      <c r="X62" s="103" t="inlineStr">
        <is>
          <t>Juan Carlos Quintero Romero</t>
        </is>
      </c>
      <c r="Y62" s="103" t="inlineStr">
        <is>
          <t>Harryson [apellidos por completar]</t>
        </is>
      </c>
      <c r="Z62" s="103" t="inlineStr">
        <is>
          <t>Aprobado</t>
        </is>
      </c>
      <c r="AA62" s="103" t="inlineStr">
        <is>
          <t>Implementado</t>
        </is>
      </c>
      <c r="AB62" s="103" t="inlineStr">
        <is>
          <t>Aprobado</t>
        </is>
      </c>
      <c r="AC62" s="103" t="inlineStr">
        <is>
          <t>Disponible</t>
        </is>
      </c>
      <c r="AD62" s="103">
        <f>IF(AND(AA62="Implementado",AB62="Aprobado",AC62="Disponible"),"Completa",IF(COUNTA(AA62:AC62)=0,"Sin iniciar","Parcial"))</f>
        <v/>
      </c>
      <c r="AE62" s="104" t="inlineStr">
        <is>
          <t>Verificado contra el codigo</t>
        </is>
      </c>
    </row>
    <row r="63" ht="15" customHeight="1" s="71">
      <c r="A63" s="102" t="inlineStr">
        <is>
          <t>TRZ-060</t>
        </is>
      </c>
      <c r="B63" s="103" t="inlineStr">
        <is>
          <t>1.5</t>
        </is>
      </c>
      <c r="C63" s="103" t="inlineStr">
        <is>
          <t>Facturación</t>
        </is>
      </c>
      <c r="D63" s="103" t="inlineStr">
        <is>
          <t>RF</t>
        </is>
      </c>
      <c r="E63" s="103" t="inlineStr">
        <is>
          <t>Media</t>
        </is>
      </c>
      <c r="F63" s="103" t="inlineStr">
        <is>
          <t>PRO-01</t>
        </is>
      </c>
      <c r="G63" s="103" t="inlineStr">
        <is>
          <t>OBJ-01</t>
        </is>
      </c>
      <c r="H63" s="103" t="inlineStr">
        <is>
          <t>STK-02</t>
        </is>
      </c>
      <c r="I63" s="103" t="inlineStr">
        <is>
          <t>ALC-10</t>
        </is>
      </c>
      <c r="J63" s="103" t="inlineStr">
        <is>
          <t>RF-060</t>
        </is>
      </c>
      <c r="K63" s="103" t="inlineStr">
        <is>
          <t>Consulta de factura por orden</t>
        </is>
      </c>
      <c r="L63" s="103" t="inlineStr">
        <is>
          <t>—</t>
        </is>
      </c>
      <c r="M63" s="103" t="inlineStr">
        <is>
          <t>HU-060</t>
        </is>
      </c>
      <c r="N63" s="103" t="inlineStr">
        <is>
          <t>CU-07</t>
        </is>
      </c>
      <c r="O63" s="103" t="inlineStr">
        <is>
          <t>UI-013</t>
        </is>
      </c>
      <c r="P63" s="103" t="inlineStr">
        <is>
          <t>factura.controller, factura.service</t>
        </is>
      </c>
      <c r="Q63" s="103" t="inlineStr">
        <is>
          <t>facturas</t>
        </is>
      </c>
      <c r="R63" s="103" t="inlineStr">
        <is>
          <t>GET /api/facturas/orden/:ordenId</t>
        </is>
      </c>
      <c r="S63" s="103" t="inlineStr">
        <is>
          <t>CP-060</t>
        </is>
      </c>
      <c r="T63" s="103" t="inlineStr">
        <is>
          <t>Manual</t>
        </is>
      </c>
      <c r="U63" s="103" t="inlineStr">
        <is>
          <t>Aprobado</t>
        </is>
      </c>
      <c r="V63" s="103" t="inlineStr">
        <is>
          <t>EV-060</t>
        </is>
      </c>
      <c r="W63" s="103" t="inlineStr">
        <is>
          <t>Plan de Calidad, seccion de clases de prueba</t>
        </is>
      </c>
      <c r="X63" s="103" t="inlineStr">
        <is>
          <t>Juan Carlos Quintero Romero</t>
        </is>
      </c>
      <c r="Y63" s="103" t="inlineStr">
        <is>
          <t>Harryson [apellidos por completar]</t>
        </is>
      </c>
      <c r="Z63" s="103" t="inlineStr">
        <is>
          <t>Aprobado</t>
        </is>
      </c>
      <c r="AA63" s="103" t="inlineStr">
        <is>
          <t>Implementado</t>
        </is>
      </c>
      <c r="AB63" s="103" t="inlineStr">
        <is>
          <t>Aprobado</t>
        </is>
      </c>
      <c r="AC63" s="103" t="inlineStr">
        <is>
          <t>Disponible</t>
        </is>
      </c>
      <c r="AD63" s="103">
        <f>IF(AND(AA63="Implementado",AB63="Aprobado",AC63="Disponible"),"Completa",IF(COUNTA(AA63:AC63)=0,"Sin iniciar","Parcial"))</f>
        <v/>
      </c>
      <c r="AE63" s="104" t="inlineStr">
        <is>
          <t>Verificado contra el codigo</t>
        </is>
      </c>
    </row>
    <row r="64" ht="15" customHeight="1" s="71">
      <c r="A64" s="102" t="inlineStr">
        <is>
          <t>TRZ-061</t>
        </is>
      </c>
      <c r="B64" s="103" t="inlineStr">
        <is>
          <t>1.5</t>
        </is>
      </c>
      <c r="C64" s="103" t="inlineStr">
        <is>
          <t>Auditoría de estados</t>
        </is>
      </c>
      <c r="D64" s="103" t="inlineStr">
        <is>
          <t>RF</t>
        </is>
      </c>
      <c r="E64" s="103" t="inlineStr">
        <is>
          <t>Alta</t>
        </is>
      </c>
      <c r="F64" s="103" t="inlineStr">
        <is>
          <t>PRO-01</t>
        </is>
      </c>
      <c r="G64" s="103" t="inlineStr">
        <is>
          <t>OBJ-02</t>
        </is>
      </c>
      <c r="H64" s="103" t="inlineStr">
        <is>
          <t>STK-02</t>
        </is>
      </c>
      <c r="I64" s="103" t="inlineStr">
        <is>
          <t>ALC-11</t>
        </is>
      </c>
      <c r="J64" s="103" t="inlineStr">
        <is>
          <t>RF-061</t>
        </is>
      </c>
      <c r="K64" s="103" t="inlineStr">
        <is>
          <t>Registro del cambio de estado</t>
        </is>
      </c>
      <c r="L64" s="103" t="inlineStr">
        <is>
          <t>RN-020</t>
        </is>
      </c>
      <c r="M64" s="103" t="inlineStr">
        <is>
          <t>HU-061</t>
        </is>
      </c>
      <c r="N64" s="103" t="inlineStr">
        <is>
          <t>—</t>
        </is>
      </c>
      <c r="O64" s="103" t="inlineStr">
        <is>
          <t>UI-007</t>
        </is>
      </c>
      <c r="P64" s="103" t="inlineStr">
        <is>
          <t>historialOrden.repository</t>
        </is>
      </c>
      <c r="Q64" s="103" t="inlineStr">
        <is>
          <t>historial_estados_orden</t>
        </is>
      </c>
      <c r="R64" s="103" t="inlineStr">
        <is>
          <t>—</t>
        </is>
      </c>
      <c r="S64" s="103" t="inlineStr">
        <is>
          <t>CP-061</t>
        </is>
      </c>
      <c r="T64" s="103" t="inlineStr">
        <is>
          <t>Manual</t>
        </is>
      </c>
      <c r="U64" s="103" t="inlineStr">
        <is>
          <t>Aprobado</t>
        </is>
      </c>
      <c r="V64" s="103" t="inlineStr">
        <is>
          <t>EV-061</t>
        </is>
      </c>
      <c r="W64" s="103" t="inlineStr">
        <is>
          <t>Plan de Calidad, seccion de clases de prueba</t>
        </is>
      </c>
      <c r="X64" s="103" t="inlineStr">
        <is>
          <t>Juan Carlos Quintero Romero</t>
        </is>
      </c>
      <c r="Y64" s="103" t="inlineStr">
        <is>
          <t>Harryson [apellidos por completar]</t>
        </is>
      </c>
      <c r="Z64" s="103" t="inlineStr">
        <is>
          <t>Aprobado</t>
        </is>
      </c>
      <c r="AA64" s="103" t="inlineStr">
        <is>
          <t>Implementado</t>
        </is>
      </c>
      <c r="AB64" s="103" t="inlineStr">
        <is>
          <t>Aprobado</t>
        </is>
      </c>
      <c r="AC64" s="103" t="inlineStr">
        <is>
          <t>Disponible</t>
        </is>
      </c>
      <c r="AD64" s="103">
        <f>IF(AND(AA64="Implementado",AB64="Aprobado",AC64="Disponible"),"Completa",IF(COUNTA(AA64:AC64)=0,"Sin iniciar","Parcial"))</f>
        <v/>
      </c>
      <c r="AE64" s="104" t="inlineStr">
        <is>
          <t>Verificado contra el codigo</t>
        </is>
      </c>
    </row>
    <row r="65" ht="15" customHeight="1" s="71">
      <c r="A65" s="102" t="inlineStr">
        <is>
          <t>TRZ-062</t>
        </is>
      </c>
      <c r="B65" s="103" t="inlineStr">
        <is>
          <t>1.5</t>
        </is>
      </c>
      <c r="C65" s="103" t="inlineStr">
        <is>
          <t>Auditoría de estados</t>
        </is>
      </c>
      <c r="D65" s="103" t="inlineStr">
        <is>
          <t>RF</t>
        </is>
      </c>
      <c r="E65" s="103" t="inlineStr">
        <is>
          <t>Alta</t>
        </is>
      </c>
      <c r="F65" s="103" t="inlineStr">
        <is>
          <t>PRO-01</t>
        </is>
      </c>
      <c r="G65" s="103" t="inlineStr">
        <is>
          <t>OBJ-02</t>
        </is>
      </c>
      <c r="H65" s="103" t="inlineStr">
        <is>
          <t>STK-02</t>
        </is>
      </c>
      <c r="I65" s="103" t="inlineStr">
        <is>
          <t>ALC-11</t>
        </is>
      </c>
      <c r="J65" s="103" t="inlineStr">
        <is>
          <t>RF-062</t>
        </is>
      </c>
      <c r="K65" s="103" t="inlineStr">
        <is>
          <t>Consulta del historial de la orden</t>
        </is>
      </c>
      <c r="L65" s="103" t="inlineStr">
        <is>
          <t>RN-021</t>
        </is>
      </c>
      <c r="M65" s="103" t="inlineStr">
        <is>
          <t>HU-062</t>
        </is>
      </c>
      <c r="N65" s="103" t="inlineStr">
        <is>
          <t>—</t>
        </is>
      </c>
      <c r="O65" s="103" t="inlineStr">
        <is>
          <t>UI-007</t>
        </is>
      </c>
      <c r="P65" s="103" t="inlineStr">
        <is>
          <t>historialOrden.repository</t>
        </is>
      </c>
      <c r="Q65" s="103" t="inlineStr">
        <is>
          <t>historial_estados_orden</t>
        </is>
      </c>
      <c r="R65" s="103" t="inlineStr">
        <is>
          <t>—</t>
        </is>
      </c>
      <c r="S65" s="103" t="inlineStr">
        <is>
          <t>CP-062</t>
        </is>
      </c>
      <c r="T65" s="103" t="inlineStr">
        <is>
          <t>Manual</t>
        </is>
      </c>
      <c r="U65" s="103" t="inlineStr">
        <is>
          <t>Aprobado</t>
        </is>
      </c>
      <c r="V65" s="103" t="inlineStr">
        <is>
          <t>EV-062</t>
        </is>
      </c>
      <c r="W65" s="103" t="inlineStr">
        <is>
          <t>Plan de Calidad, seccion de clases de prueba</t>
        </is>
      </c>
      <c r="X65" s="103" t="inlineStr">
        <is>
          <t>Juan Carlos Quintero Romero</t>
        </is>
      </c>
      <c r="Y65" s="103" t="inlineStr">
        <is>
          <t>Harryson [apellidos por completar]</t>
        </is>
      </c>
      <c r="Z65" s="103" t="inlineStr">
        <is>
          <t>Aprobado</t>
        </is>
      </c>
      <c r="AA65" s="103" t="inlineStr">
        <is>
          <t>Implementado</t>
        </is>
      </c>
      <c r="AB65" s="103" t="inlineStr">
        <is>
          <t>Aprobado</t>
        </is>
      </c>
      <c r="AC65" s="103" t="inlineStr">
        <is>
          <t>Disponible</t>
        </is>
      </c>
      <c r="AD65" s="103">
        <f>IF(AND(AA65="Implementado",AB65="Aprobado",AC65="Disponible"),"Completa",IF(COUNTA(AA65:AC65)=0,"Sin iniciar","Parcial"))</f>
        <v/>
      </c>
      <c r="AE65" s="104" t="inlineStr">
        <is>
          <t>Verificado contra el codigo</t>
        </is>
      </c>
    </row>
    <row r="66" ht="15" customHeight="1" s="71">
      <c r="A66" s="102" t="inlineStr">
        <is>
          <t>TRZ-063</t>
        </is>
      </c>
      <c r="B66" s="103" t="inlineStr">
        <is>
          <t>1.5</t>
        </is>
      </c>
      <c r="C66" s="103" t="inlineStr">
        <is>
          <t>Notificaciones por correo</t>
        </is>
      </c>
      <c r="D66" s="103" t="inlineStr">
        <is>
          <t>RF</t>
        </is>
      </c>
      <c r="E66" s="103" t="inlineStr">
        <is>
          <t>Alta</t>
        </is>
      </c>
      <c r="F66" s="103" t="inlineStr">
        <is>
          <t>PRO-01</t>
        </is>
      </c>
      <c r="G66" s="103" t="inlineStr">
        <is>
          <t>OBJ-03</t>
        </is>
      </c>
      <c r="H66" s="103" t="inlineStr">
        <is>
          <t>STK-04</t>
        </is>
      </c>
      <c r="I66" s="103" t="inlineStr">
        <is>
          <t>ALC-12</t>
        </is>
      </c>
      <c r="J66" s="103" t="inlineStr">
        <is>
          <t>RF-063</t>
        </is>
      </c>
      <c r="K66" s="103" t="inlineStr">
        <is>
          <t>Aviso al cliente por cambio de estado</t>
        </is>
      </c>
      <c r="L66" s="103" t="inlineStr">
        <is>
          <t>RN-022, RN-023</t>
        </is>
      </c>
      <c r="M66" s="103" t="inlineStr">
        <is>
          <t>HU-063</t>
        </is>
      </c>
      <c r="N66" s="103" t="inlineStr">
        <is>
          <t>—</t>
        </is>
      </c>
      <c r="O66" s="103" t="inlineStr">
        <is>
          <t>—</t>
        </is>
      </c>
      <c r="P66" s="103" t="inlineStr">
        <is>
          <t>correo.service, plantillas/correo</t>
        </is>
      </c>
      <c r="Q66" s="103" t="inlineStr">
        <is>
          <t>usuarios</t>
        </is>
      </c>
      <c r="R66" s="103" t="inlineStr">
        <is>
          <t>—</t>
        </is>
      </c>
      <c r="S66" s="103" t="inlineStr">
        <is>
          <t>CP-063</t>
        </is>
      </c>
      <c r="T66" s="103" t="inlineStr">
        <is>
          <t>Manual</t>
        </is>
      </c>
      <c r="U66" s="103" t="inlineStr">
        <is>
          <t>Pendiente</t>
        </is>
      </c>
      <c r="V66" s="103" t="inlineStr">
        <is>
          <t>EV-063</t>
        </is>
      </c>
      <c r="W66" s="103" t="inlineStr">
        <is>
          <t>Plan de Calidad, seccion de clases de prueba</t>
        </is>
      </c>
      <c r="X66" s="103" t="inlineStr">
        <is>
          <t>Juan Carlos Quintero Romero</t>
        </is>
      </c>
      <c r="Y66" s="103" t="inlineStr">
        <is>
          <t>Harryson [apellidos por completar]</t>
        </is>
      </c>
      <c r="Z66" s="103" t="inlineStr">
        <is>
          <t>Aprobado</t>
        </is>
      </c>
      <c r="AA66" s="103" t="inlineStr">
        <is>
          <t>En desarrollo</t>
        </is>
      </c>
      <c r="AB66" s="103" t="inlineStr">
        <is>
          <t>Pendiente</t>
        </is>
      </c>
      <c r="AC66" s="103" t="inlineStr">
        <is>
          <t>Incompleta</t>
        </is>
      </c>
      <c r="AD66" s="103">
        <f>IF(AND(AA66="Implementado",AB66="Aprobado",AC66="Disponible"),"Completa",IF(COUNTA(AA66:AC66)=0,"Sin iniciar","Parcial"))</f>
        <v/>
      </c>
      <c r="AE66" s="104" t="inlineStr">
        <is>
          <t>Pendiente de configuracion</t>
        </is>
      </c>
    </row>
    <row r="67" ht="15" customHeight="1" s="71">
      <c r="A67" s="102" t="inlineStr">
        <is>
          <t>TRZ-064</t>
        </is>
      </c>
      <c r="B67" s="103" t="inlineStr">
        <is>
          <t>1.5</t>
        </is>
      </c>
      <c r="C67" s="103" t="inlineStr">
        <is>
          <t>Notificaciones por correo</t>
        </is>
      </c>
      <c r="D67" s="103" t="inlineStr">
        <is>
          <t>RF</t>
        </is>
      </c>
      <c r="E67" s="103" t="inlineStr">
        <is>
          <t>Alta</t>
        </is>
      </c>
      <c r="F67" s="103" t="inlineStr">
        <is>
          <t>PRO-01</t>
        </is>
      </c>
      <c r="G67" s="103" t="inlineStr">
        <is>
          <t>OBJ-03</t>
        </is>
      </c>
      <c r="H67" s="103" t="inlineStr">
        <is>
          <t>STK-04</t>
        </is>
      </c>
      <c r="I67" s="103" t="inlineStr">
        <is>
          <t>ALC-12</t>
        </is>
      </c>
      <c r="J67" s="103" t="inlineStr">
        <is>
          <t>RF-064</t>
        </is>
      </c>
      <c r="K67" s="103" t="inlineStr">
        <is>
          <t>Correo de restablecimiento de contraseña</t>
        </is>
      </c>
      <c r="L67" s="103" t="inlineStr">
        <is>
          <t>—</t>
        </is>
      </c>
      <c r="M67" s="103" t="inlineStr">
        <is>
          <t>HU-064</t>
        </is>
      </c>
      <c r="N67" s="103" t="inlineStr">
        <is>
          <t>—</t>
        </is>
      </c>
      <c r="O67" s="103" t="inlineStr">
        <is>
          <t>—</t>
        </is>
      </c>
      <c r="P67" s="103" t="inlineStr">
        <is>
          <t>correo.service, plantillas/correo</t>
        </is>
      </c>
      <c r="Q67" s="103" t="inlineStr">
        <is>
          <t>usuarios</t>
        </is>
      </c>
      <c r="R67" s="103" t="inlineStr">
        <is>
          <t>—</t>
        </is>
      </c>
      <c r="S67" s="103" t="inlineStr">
        <is>
          <t>CP-064</t>
        </is>
      </c>
      <c r="T67" s="103" t="inlineStr">
        <is>
          <t>Manual</t>
        </is>
      </c>
      <c r="U67" s="103" t="inlineStr">
        <is>
          <t>Pendiente</t>
        </is>
      </c>
      <c r="V67" s="103" t="inlineStr">
        <is>
          <t>EV-064</t>
        </is>
      </c>
      <c r="W67" s="103" t="inlineStr">
        <is>
          <t>Plan de Calidad, seccion de clases de prueba</t>
        </is>
      </c>
      <c r="X67" s="103" t="inlineStr">
        <is>
          <t>Juan Carlos Quintero Romero</t>
        </is>
      </c>
      <c r="Y67" s="103" t="inlineStr">
        <is>
          <t>Harryson [apellidos por completar]</t>
        </is>
      </c>
      <c r="Z67" s="103" t="inlineStr">
        <is>
          <t>Aprobado</t>
        </is>
      </c>
      <c r="AA67" s="103" t="inlineStr">
        <is>
          <t>En desarrollo</t>
        </is>
      </c>
      <c r="AB67" s="103" t="inlineStr">
        <is>
          <t>Pendiente</t>
        </is>
      </c>
      <c r="AC67" s="103" t="inlineStr">
        <is>
          <t>Incompleta</t>
        </is>
      </c>
      <c r="AD67" s="103">
        <f>IF(AND(AA67="Implementado",AB67="Aprobado",AC67="Disponible"),"Completa",IF(COUNTA(AA67:AC67)=0,"Sin iniciar","Parcial"))</f>
        <v/>
      </c>
      <c r="AE67" s="104" t="inlineStr">
        <is>
          <t>Pendiente de configuracion</t>
        </is>
      </c>
    </row>
    <row r="68" ht="15" customHeight="1" s="71">
      <c r="A68" s="102" t="inlineStr">
        <is>
          <t>TRZ-065</t>
        </is>
      </c>
      <c r="B68" s="103" t="inlineStr">
        <is>
          <t>1.5</t>
        </is>
      </c>
      <c r="C68" s="103" t="inlineStr">
        <is>
          <t>Notificaciones por correo</t>
        </is>
      </c>
      <c r="D68" s="103" t="inlineStr">
        <is>
          <t>RF</t>
        </is>
      </c>
      <c r="E68" s="103" t="inlineStr">
        <is>
          <t>Alta</t>
        </is>
      </c>
      <c r="F68" s="103" t="inlineStr">
        <is>
          <t>PRO-01</t>
        </is>
      </c>
      <c r="G68" s="103" t="inlineStr">
        <is>
          <t>OBJ-03</t>
        </is>
      </c>
      <c r="H68" s="103" t="inlineStr">
        <is>
          <t>STK-04</t>
        </is>
      </c>
      <c r="I68" s="103" t="inlineStr">
        <is>
          <t>ALC-12</t>
        </is>
      </c>
      <c r="J68" s="103" t="inlineStr">
        <is>
          <t>RF-065</t>
        </is>
      </c>
      <c r="K68" s="103" t="inlineStr">
        <is>
          <t>Correo de activación de cuenta</t>
        </is>
      </c>
      <c r="L68" s="103" t="inlineStr">
        <is>
          <t>—</t>
        </is>
      </c>
      <c r="M68" s="103" t="inlineStr">
        <is>
          <t>HU-065</t>
        </is>
      </c>
      <c r="N68" s="103" t="inlineStr">
        <is>
          <t>—</t>
        </is>
      </c>
      <c r="O68" s="103" t="inlineStr">
        <is>
          <t>—</t>
        </is>
      </c>
      <c r="P68" s="103" t="inlineStr">
        <is>
          <t>correo.service, plantillas/correo</t>
        </is>
      </c>
      <c r="Q68" s="103" t="inlineStr">
        <is>
          <t>usuarios</t>
        </is>
      </c>
      <c r="R68" s="103" t="inlineStr">
        <is>
          <t>—</t>
        </is>
      </c>
      <c r="S68" s="103" t="inlineStr">
        <is>
          <t>CP-065</t>
        </is>
      </c>
      <c r="T68" s="103" t="inlineStr">
        <is>
          <t>Manual</t>
        </is>
      </c>
      <c r="U68" s="103" t="inlineStr">
        <is>
          <t>Pendiente</t>
        </is>
      </c>
      <c r="V68" s="103" t="inlineStr">
        <is>
          <t>EV-065</t>
        </is>
      </c>
      <c r="W68" s="103" t="inlineStr">
        <is>
          <t>Plan de Calidad, seccion de clases de prueba</t>
        </is>
      </c>
      <c r="X68" s="103" t="inlineStr">
        <is>
          <t>Juan Carlos Quintero Romero</t>
        </is>
      </c>
      <c r="Y68" s="103" t="inlineStr">
        <is>
          <t>Harryson [apellidos por completar]</t>
        </is>
      </c>
      <c r="Z68" s="103" t="inlineStr">
        <is>
          <t>Aprobado</t>
        </is>
      </c>
      <c r="AA68" s="103" t="inlineStr">
        <is>
          <t>En desarrollo</t>
        </is>
      </c>
      <c r="AB68" s="103" t="inlineStr">
        <is>
          <t>Pendiente</t>
        </is>
      </c>
      <c r="AC68" s="103" t="inlineStr">
        <is>
          <t>Incompleta</t>
        </is>
      </c>
      <c r="AD68" s="103">
        <f>IF(AND(AA68="Implementado",AB68="Aprobado",AC68="Disponible"),"Completa",IF(COUNTA(AA68:AC68)=0,"Sin iniciar","Parcial"))</f>
        <v/>
      </c>
      <c r="AE68" s="104" t="inlineStr">
        <is>
          <t>Pendiente de configuracion</t>
        </is>
      </c>
    </row>
    <row r="69" ht="15" customHeight="1" s="71">
      <c r="A69" s="102" t="inlineStr">
        <is>
          <t>TRZ-066</t>
        </is>
      </c>
      <c r="B69" s="103" t="inlineStr">
        <is>
          <t>1.5</t>
        </is>
      </c>
      <c r="C69" s="103" t="inlineStr">
        <is>
          <t>Notificaciones por correo</t>
        </is>
      </c>
      <c r="D69" s="103" t="inlineStr">
        <is>
          <t>RF</t>
        </is>
      </c>
      <c r="E69" s="103" t="inlineStr">
        <is>
          <t>Media</t>
        </is>
      </c>
      <c r="F69" s="103" t="inlineStr">
        <is>
          <t>PRO-01</t>
        </is>
      </c>
      <c r="G69" s="103" t="inlineStr">
        <is>
          <t>OBJ-03</t>
        </is>
      </c>
      <c r="H69" s="103" t="inlineStr">
        <is>
          <t>STK-04</t>
        </is>
      </c>
      <c r="I69" s="103" t="inlineStr">
        <is>
          <t>ALC-12</t>
        </is>
      </c>
      <c r="J69" s="103" t="inlineStr">
        <is>
          <t>RF-066</t>
        </is>
      </c>
      <c r="K69" s="103" t="inlineStr">
        <is>
          <t>Aviso de contraseña modificada</t>
        </is>
      </c>
      <c r="L69" s="103" t="inlineStr">
        <is>
          <t>—</t>
        </is>
      </c>
      <c r="M69" s="103" t="inlineStr">
        <is>
          <t>HU-066</t>
        </is>
      </c>
      <c r="N69" s="103" t="inlineStr">
        <is>
          <t>—</t>
        </is>
      </c>
      <c r="O69" s="103" t="inlineStr">
        <is>
          <t>—</t>
        </is>
      </c>
      <c r="P69" s="103" t="inlineStr">
        <is>
          <t>correo.service, plantillas/correo</t>
        </is>
      </c>
      <c r="Q69" s="103" t="inlineStr">
        <is>
          <t>usuarios</t>
        </is>
      </c>
      <c r="R69" s="103" t="inlineStr">
        <is>
          <t>—</t>
        </is>
      </c>
      <c r="S69" s="103" t="inlineStr">
        <is>
          <t>CP-066</t>
        </is>
      </c>
      <c r="T69" s="103" t="inlineStr">
        <is>
          <t>Manual</t>
        </is>
      </c>
      <c r="U69" s="103" t="inlineStr">
        <is>
          <t>Pendiente</t>
        </is>
      </c>
      <c r="V69" s="103" t="inlineStr">
        <is>
          <t>EV-066</t>
        </is>
      </c>
      <c r="W69" s="103" t="inlineStr">
        <is>
          <t>Plan de Calidad, seccion de clases de prueba</t>
        </is>
      </c>
      <c r="X69" s="103" t="inlineStr">
        <is>
          <t>Juan Carlos Quintero Romero</t>
        </is>
      </c>
      <c r="Y69" s="103" t="inlineStr">
        <is>
          <t>Harryson [apellidos por completar]</t>
        </is>
      </c>
      <c r="Z69" s="103" t="inlineStr">
        <is>
          <t>Aprobado</t>
        </is>
      </c>
      <c r="AA69" s="103" t="inlineStr">
        <is>
          <t>En desarrollo</t>
        </is>
      </c>
      <c r="AB69" s="103" t="inlineStr">
        <is>
          <t>Pendiente</t>
        </is>
      </c>
      <c r="AC69" s="103" t="inlineStr">
        <is>
          <t>Incompleta</t>
        </is>
      </c>
      <c r="AD69" s="103">
        <f>IF(AND(AA69="Implementado",AB69="Aprobado",AC69="Disponible"),"Completa",IF(COUNTA(AA69:AC69)=0,"Sin iniciar","Parcial"))</f>
        <v/>
      </c>
      <c r="AE69" s="104" t="inlineStr">
        <is>
          <t>Pendiente de configuracion</t>
        </is>
      </c>
    </row>
    <row r="70" ht="15" customHeight="1" s="71">
      <c r="A70" s="102" t="inlineStr">
        <is>
          <t>TRZ-067</t>
        </is>
      </c>
      <c r="B70" s="103" t="inlineStr">
        <is>
          <t>1.5</t>
        </is>
      </c>
      <c r="C70" s="103" t="inlineStr">
        <is>
          <t>Panel de indicadores</t>
        </is>
      </c>
      <c r="D70" s="103" t="inlineStr">
        <is>
          <t>RF</t>
        </is>
      </c>
      <c r="E70" s="103" t="inlineStr">
        <is>
          <t>Media</t>
        </is>
      </c>
      <c r="F70" s="103" t="inlineStr">
        <is>
          <t>PRO-01</t>
        </is>
      </c>
      <c r="G70" s="103" t="inlineStr">
        <is>
          <t>OBJ-01</t>
        </is>
      </c>
      <c r="H70" s="103" t="inlineStr">
        <is>
          <t>STK-01</t>
        </is>
      </c>
      <c r="I70" s="103" t="inlineStr">
        <is>
          <t>ALC-13</t>
        </is>
      </c>
      <c r="J70" s="103" t="inlineStr">
        <is>
          <t>RF-067</t>
        </is>
      </c>
      <c r="K70" s="103" t="inlineStr">
        <is>
          <t>Panel de indicadores operativos</t>
        </is>
      </c>
      <c r="L70" s="103" t="inlineStr">
        <is>
          <t>—</t>
        </is>
      </c>
      <c r="M70" s="103" t="inlineStr">
        <is>
          <t>HU-067</t>
        </is>
      </c>
      <c r="N70" s="103" t="inlineStr">
        <is>
          <t>—</t>
        </is>
      </c>
      <c r="O70" s="103" t="inlineStr">
        <is>
          <t>UI-005</t>
        </is>
      </c>
      <c r="P70" s="103" t="inlineStr">
        <is>
          <t>dashboard.controller, dashboard.service</t>
        </is>
      </c>
      <c r="Q70" s="103" t="inlineStr">
        <is>
          <t>ordenes_trabajo</t>
        </is>
      </c>
      <c r="R70" s="103" t="inlineStr">
        <is>
          <t>GET /api/dashboard/resumen</t>
        </is>
      </c>
      <c r="S70" s="103" t="inlineStr">
        <is>
          <t>CP-067</t>
        </is>
      </c>
      <c r="T70" s="103" t="inlineStr">
        <is>
          <t>Manual</t>
        </is>
      </c>
      <c r="U70" s="103" t="inlineStr">
        <is>
          <t>Aprobado</t>
        </is>
      </c>
      <c r="V70" s="103" t="inlineStr">
        <is>
          <t>EV-067</t>
        </is>
      </c>
      <c r="W70" s="103" t="inlineStr">
        <is>
          <t>Plan de Calidad, seccion de clases de prueba</t>
        </is>
      </c>
      <c r="X70" s="103" t="inlineStr">
        <is>
          <t>Juan Carlos Quintero Romero</t>
        </is>
      </c>
      <c r="Y70" s="103" t="inlineStr">
        <is>
          <t>Harryson [apellidos por completar]</t>
        </is>
      </c>
      <c r="Z70" s="103" t="inlineStr">
        <is>
          <t>Aprobado</t>
        </is>
      </c>
      <c r="AA70" s="103" t="inlineStr">
        <is>
          <t>Implementado</t>
        </is>
      </c>
      <c r="AB70" s="103" t="inlineStr">
        <is>
          <t>Aprobado</t>
        </is>
      </c>
      <c r="AC70" s="103" t="inlineStr">
        <is>
          <t>Disponible</t>
        </is>
      </c>
      <c r="AD70" s="103">
        <f>IF(AND(AA70="Implementado",AB70="Aprobado",AC70="Disponible"),"Completa",IF(COUNTA(AA70:AC70)=0,"Sin iniciar","Parcial"))</f>
        <v/>
      </c>
      <c r="AE70" s="104" t="inlineStr">
        <is>
          <t>Verificado contra el codigo</t>
        </is>
      </c>
    </row>
    <row r="71" ht="15" customHeight="1" s="71">
      <c r="A71" s="102" t="inlineStr">
        <is>
          <t>TRZ-068</t>
        </is>
      </c>
      <c r="B71" s="103" t="inlineStr">
        <is>
          <t>1.5</t>
        </is>
      </c>
      <c r="C71" s="103" t="inlineStr">
        <is>
          <t>Seguridad</t>
        </is>
      </c>
      <c r="D71" s="103" t="inlineStr">
        <is>
          <t>RNF</t>
        </is>
      </c>
      <c r="E71" s="103" t="inlineStr">
        <is>
          <t>Crítica</t>
        </is>
      </c>
      <c r="F71" s="103" t="inlineStr">
        <is>
          <t>PRO-01</t>
        </is>
      </c>
      <c r="G71" s="103" t="inlineStr">
        <is>
          <t>OBJ-04</t>
        </is>
      </c>
      <c r="H71" s="103" t="inlineStr">
        <is>
          <t>STK-02</t>
        </is>
      </c>
      <c r="I71" s="103" t="inlineStr">
        <is>
          <t>ALC-01</t>
        </is>
      </c>
      <c r="J71" s="103" t="inlineStr">
        <is>
          <t>RNF-001</t>
        </is>
      </c>
      <c r="K71" s="103" t="inlineStr">
        <is>
          <t>Las contraseñas se almacenan cifradas con bcrypt y nunca en claro.</t>
        </is>
      </c>
      <c r="L71" s="103" t="inlineStr">
        <is>
          <t>—</t>
        </is>
      </c>
      <c r="M71" s="103" t="inlineStr">
        <is>
          <t>—</t>
        </is>
      </c>
      <c r="N71" s="103" t="inlineStr">
        <is>
          <t>—</t>
        </is>
      </c>
      <c r="O71" s="103" t="inlineStr">
        <is>
          <t>Todas</t>
        </is>
      </c>
      <c r="P71" s="103" t="inlineStr">
        <is>
          <t>Middlewares y configuracion</t>
        </is>
      </c>
      <c r="Q71" s="103" t="inlineStr">
        <is>
          <t>Todas</t>
        </is>
      </c>
      <c r="R71" s="103" t="inlineStr">
        <is>
          <t>—</t>
        </is>
      </c>
      <c r="S71" s="103" t="inlineStr">
        <is>
          <t>CP-001</t>
        </is>
      </c>
      <c r="T71" s="103" t="inlineStr">
        <is>
          <t>Seguridad</t>
        </is>
      </c>
      <c r="U71" s="103" t="inlineStr">
        <is>
          <t>Aprobado</t>
        </is>
      </c>
      <c r="V71" s="103" t="inlineStr">
        <is>
          <t>EV-001</t>
        </is>
      </c>
      <c r="W71" s="103" t="inlineStr">
        <is>
          <t>Plan de Calidad, seccion de controles</t>
        </is>
      </c>
      <c r="X71" s="103" t="inlineStr">
        <is>
          <t>Juan Carlos Quintero Romero</t>
        </is>
      </c>
      <c r="Y71" s="103" t="inlineStr">
        <is>
          <t>Harryson [apellidos por completar]</t>
        </is>
      </c>
      <c r="Z71" s="103" t="inlineStr">
        <is>
          <t>Aprobado</t>
        </is>
      </c>
      <c r="AA71" s="103" t="inlineStr">
        <is>
          <t>Implementado</t>
        </is>
      </c>
      <c r="AB71" s="103" t="inlineStr">
        <is>
          <t>Aprobado</t>
        </is>
      </c>
      <c r="AC71" s="103" t="inlineStr">
        <is>
          <t>Disponible</t>
        </is>
      </c>
      <c r="AD71" s="103">
        <f>IF(AND(AA71="Implementado",AB71="Aprobado",AC71="Disponible"),"Completa",IF(COUNTA(AA71:AC71)=0,"Sin iniciar","Parcial"))</f>
        <v/>
      </c>
      <c r="AE71" s="104" t="inlineStr">
        <is>
          <t>Ninguna contraseña legible en la base de datos ni en registros.</t>
        </is>
      </c>
    </row>
    <row r="72" ht="15" customHeight="1" s="71">
      <c r="A72" s="102" t="inlineStr">
        <is>
          <t>TRZ-069</t>
        </is>
      </c>
      <c r="B72" s="103" t="inlineStr">
        <is>
          <t>1.5</t>
        </is>
      </c>
      <c r="C72" s="103" t="inlineStr">
        <is>
          <t>Seguridad</t>
        </is>
      </c>
      <c r="D72" s="103" t="inlineStr">
        <is>
          <t>RNF</t>
        </is>
      </c>
      <c r="E72" s="103" t="inlineStr">
        <is>
          <t>Crítica</t>
        </is>
      </c>
      <c r="F72" s="103" t="inlineStr">
        <is>
          <t>PRO-01</t>
        </is>
      </c>
      <c r="G72" s="103" t="inlineStr">
        <is>
          <t>OBJ-04</t>
        </is>
      </c>
      <c r="H72" s="103" t="inlineStr">
        <is>
          <t>STK-02</t>
        </is>
      </c>
      <c r="I72" s="103" t="inlineStr">
        <is>
          <t>ALC-01</t>
        </is>
      </c>
      <c r="J72" s="103" t="inlineStr">
        <is>
          <t>RNF-002</t>
        </is>
      </c>
      <c r="K72" s="103" t="inlineStr">
        <is>
          <t>La sesión se sostiene con un JWT firmado con vigencia limitada.</t>
        </is>
      </c>
      <c r="L72" s="103" t="inlineStr">
        <is>
          <t>—</t>
        </is>
      </c>
      <c r="M72" s="103" t="inlineStr">
        <is>
          <t>—</t>
        </is>
      </c>
      <c r="N72" s="103" t="inlineStr">
        <is>
          <t>—</t>
        </is>
      </c>
      <c r="O72" s="103" t="inlineStr">
        <is>
          <t>Todas</t>
        </is>
      </c>
      <c r="P72" s="103" t="inlineStr">
        <is>
          <t>Middlewares y configuracion</t>
        </is>
      </c>
      <c r="Q72" s="103" t="inlineStr">
        <is>
          <t>Todas</t>
        </is>
      </c>
      <c r="R72" s="103" t="inlineStr">
        <is>
          <t>—</t>
        </is>
      </c>
      <c r="S72" s="103" t="inlineStr">
        <is>
          <t>CP-002</t>
        </is>
      </c>
      <c r="T72" s="103" t="inlineStr">
        <is>
          <t>Seguridad</t>
        </is>
      </c>
      <c r="U72" s="103" t="inlineStr">
        <is>
          <t>Aprobado</t>
        </is>
      </c>
      <c r="V72" s="103" t="inlineStr">
        <is>
          <t>EV-002</t>
        </is>
      </c>
      <c r="W72" s="103" t="inlineStr">
        <is>
          <t>Plan de Calidad, seccion de controles</t>
        </is>
      </c>
      <c r="X72" s="103" t="inlineStr">
        <is>
          <t>Juan Carlos Quintero Romero</t>
        </is>
      </c>
      <c r="Y72" s="103" t="inlineStr">
        <is>
          <t>Harryson [apellidos por completar]</t>
        </is>
      </c>
      <c r="Z72" s="103" t="inlineStr">
        <is>
          <t>Aprobado</t>
        </is>
      </c>
      <c r="AA72" s="103" t="inlineStr">
        <is>
          <t>Implementado</t>
        </is>
      </c>
      <c r="AB72" s="103" t="inlineStr">
        <is>
          <t>Aprobado</t>
        </is>
      </c>
      <c r="AC72" s="103" t="inlineStr">
        <is>
          <t>Disponible</t>
        </is>
      </c>
      <c r="AD72" s="103">
        <f>IF(AND(AA72="Implementado",AB72="Aprobado",AC72="Disponible"),"Completa",IF(COUNTA(AA72:AC72)=0,"Sin iniciar","Parcial"))</f>
        <v/>
      </c>
      <c r="AE72" s="104" t="inlineStr">
        <is>
          <t>Vigencia de 8 horas, configurable por variable de entorno.</t>
        </is>
      </c>
    </row>
    <row r="73" ht="15" customHeight="1" s="71">
      <c r="A73" s="102" t="inlineStr">
        <is>
          <t>TRZ-070</t>
        </is>
      </c>
      <c r="B73" s="103" t="inlineStr">
        <is>
          <t>1.5</t>
        </is>
      </c>
      <c r="C73" s="103" t="inlineStr">
        <is>
          <t>Seguridad</t>
        </is>
      </c>
      <c r="D73" s="103" t="inlineStr">
        <is>
          <t>RNF</t>
        </is>
      </c>
      <c r="E73" s="103" t="inlineStr">
        <is>
          <t>Crítica</t>
        </is>
      </c>
      <c r="F73" s="103" t="inlineStr">
        <is>
          <t>PRO-01</t>
        </is>
      </c>
      <c r="G73" s="103" t="inlineStr">
        <is>
          <t>OBJ-04</t>
        </is>
      </c>
      <c r="H73" s="103" t="inlineStr">
        <is>
          <t>STK-02</t>
        </is>
      </c>
      <c r="I73" s="103" t="inlineStr">
        <is>
          <t>ALC-01</t>
        </is>
      </c>
      <c r="J73" s="103" t="inlineStr">
        <is>
          <t>RNF-003</t>
        </is>
      </c>
      <c r="K73" s="103" t="inlineStr">
        <is>
          <t xml:space="preserve">Los tokens de correo se generan con 256 bits de entropía y se guardan </t>
        </is>
      </c>
      <c r="L73" s="103" t="inlineStr">
        <is>
          <t>—</t>
        </is>
      </c>
      <c r="M73" s="103" t="inlineStr">
        <is>
          <t>—</t>
        </is>
      </c>
      <c r="N73" s="103" t="inlineStr">
        <is>
          <t>—</t>
        </is>
      </c>
      <c r="O73" s="103" t="inlineStr">
        <is>
          <t>Todas</t>
        </is>
      </c>
      <c r="P73" s="103" t="inlineStr">
        <is>
          <t>Middlewares y configuracion</t>
        </is>
      </c>
      <c r="Q73" s="103" t="inlineStr">
        <is>
          <t>Todas</t>
        </is>
      </c>
      <c r="R73" s="103" t="inlineStr">
        <is>
          <t>—</t>
        </is>
      </c>
      <c r="S73" s="103" t="inlineStr">
        <is>
          <t>CP-003</t>
        </is>
      </c>
      <c r="T73" s="103" t="inlineStr">
        <is>
          <t>Seguridad</t>
        </is>
      </c>
      <c r="U73" s="103" t="inlineStr">
        <is>
          <t>Aprobado</t>
        </is>
      </c>
      <c r="V73" s="103" t="inlineStr">
        <is>
          <t>EV-003</t>
        </is>
      </c>
      <c r="W73" s="103" t="inlineStr">
        <is>
          <t>Plan de Calidad, seccion de controles</t>
        </is>
      </c>
      <c r="X73" s="103" t="inlineStr">
        <is>
          <t>Juan Carlos Quintero Romero</t>
        </is>
      </c>
      <c r="Y73" s="103" t="inlineStr">
        <is>
          <t>Harryson [apellidos por completar]</t>
        </is>
      </c>
      <c r="Z73" s="103" t="inlineStr">
        <is>
          <t>Aprobado</t>
        </is>
      </c>
      <c r="AA73" s="103" t="inlineStr">
        <is>
          <t>Implementado</t>
        </is>
      </c>
      <c r="AB73" s="103" t="inlineStr">
        <is>
          <t>Aprobado</t>
        </is>
      </c>
      <c r="AC73" s="103" t="inlineStr">
        <is>
          <t>Disponible</t>
        </is>
      </c>
      <c r="AD73" s="103">
        <f>IF(AND(AA73="Implementado",AB73="Aprobado",AC73="Disponible"),"Completa",IF(COUNTA(AA73:AC73)=0,"Sin iniciar","Parcial"))</f>
        <v/>
      </c>
      <c r="AE73" s="104" t="inlineStr">
        <is>
          <t>Se almacena el SHA-256; el valor en claro solo existe en el enlace enviado.</t>
        </is>
      </c>
    </row>
    <row r="74" ht="15" customHeight="1" s="71">
      <c r="A74" s="102" t="inlineStr">
        <is>
          <t>TRZ-071</t>
        </is>
      </c>
      <c r="B74" s="103" t="inlineStr">
        <is>
          <t>1.5</t>
        </is>
      </c>
      <c r="C74" s="103" t="inlineStr">
        <is>
          <t>Seguridad</t>
        </is>
      </c>
      <c r="D74" s="103" t="inlineStr">
        <is>
          <t>RNF</t>
        </is>
      </c>
      <c r="E74" s="103" t="inlineStr">
        <is>
          <t>Crítica</t>
        </is>
      </c>
      <c r="F74" s="103" t="inlineStr">
        <is>
          <t>PRO-01</t>
        </is>
      </c>
      <c r="G74" s="103" t="inlineStr">
        <is>
          <t>OBJ-04</t>
        </is>
      </c>
      <c r="H74" s="103" t="inlineStr">
        <is>
          <t>STK-02</t>
        </is>
      </c>
      <c r="I74" s="103" t="inlineStr">
        <is>
          <t>ALC-01</t>
        </is>
      </c>
      <c r="J74" s="103" t="inlineStr">
        <is>
          <t>RNF-004</t>
        </is>
      </c>
      <c r="K74" s="103" t="inlineStr">
        <is>
          <t>Los tokens de correo son de un solo uso y caducan.</t>
        </is>
      </c>
      <c r="L74" s="103" t="inlineStr">
        <is>
          <t>—</t>
        </is>
      </c>
      <c r="M74" s="103" t="inlineStr">
        <is>
          <t>—</t>
        </is>
      </c>
      <c r="N74" s="103" t="inlineStr">
        <is>
          <t>—</t>
        </is>
      </c>
      <c r="O74" s="103" t="inlineStr">
        <is>
          <t>Todas</t>
        </is>
      </c>
      <c r="P74" s="103" t="inlineStr">
        <is>
          <t>Middlewares y configuracion</t>
        </is>
      </c>
      <c r="Q74" s="103" t="inlineStr">
        <is>
          <t>Todas</t>
        </is>
      </c>
      <c r="R74" s="103" t="inlineStr">
        <is>
          <t>—</t>
        </is>
      </c>
      <c r="S74" s="103" t="inlineStr">
        <is>
          <t>CP-004</t>
        </is>
      </c>
      <c r="T74" s="103" t="inlineStr">
        <is>
          <t>Seguridad</t>
        </is>
      </c>
      <c r="U74" s="103" t="inlineStr">
        <is>
          <t>Aprobado</t>
        </is>
      </c>
      <c r="V74" s="103" t="inlineStr">
        <is>
          <t>EV-004</t>
        </is>
      </c>
      <c r="W74" s="103" t="inlineStr">
        <is>
          <t>Plan de Calidad, seccion de controles</t>
        </is>
      </c>
      <c r="X74" s="103" t="inlineStr">
        <is>
          <t>Juan Carlos Quintero Romero</t>
        </is>
      </c>
      <c r="Y74" s="103" t="inlineStr">
        <is>
          <t>Harryson [apellidos por completar]</t>
        </is>
      </c>
      <c r="Z74" s="103" t="inlineStr">
        <is>
          <t>Aprobado</t>
        </is>
      </c>
      <c r="AA74" s="103" t="inlineStr">
        <is>
          <t>Implementado</t>
        </is>
      </c>
      <c r="AB74" s="103" t="inlineStr">
        <is>
          <t>Aprobado</t>
        </is>
      </c>
      <c r="AC74" s="103" t="inlineStr">
        <is>
          <t>Disponible</t>
        </is>
      </c>
      <c r="AD74" s="103">
        <f>IF(AND(AA74="Implementado",AB74="Aprobado",AC74="Disponible"),"Completa",IF(COUNTA(AA74:AC74)=0,"Sin iniciar","Parcial"))</f>
        <v/>
      </c>
      <c r="AE74" s="104" t="inlineStr">
        <is>
          <t>Una hora para restablecer, 24 horas para verificar, dos horas para cambio de cor</t>
        </is>
      </c>
    </row>
    <row r="75" ht="15" customHeight="1" s="71">
      <c r="A75" s="102" t="inlineStr">
        <is>
          <t>TRZ-072</t>
        </is>
      </c>
      <c r="B75" s="103" t="inlineStr">
        <is>
          <t>1.5</t>
        </is>
      </c>
      <c r="C75" s="103" t="inlineStr">
        <is>
          <t>Seguridad</t>
        </is>
      </c>
      <c r="D75" s="103" t="inlineStr">
        <is>
          <t>RNF</t>
        </is>
      </c>
      <c r="E75" s="103" t="inlineStr">
        <is>
          <t>Crítica</t>
        </is>
      </c>
      <c r="F75" s="103" t="inlineStr">
        <is>
          <t>PRO-01</t>
        </is>
      </c>
      <c r="G75" s="103" t="inlineStr">
        <is>
          <t>OBJ-04</t>
        </is>
      </c>
      <c r="H75" s="103" t="inlineStr">
        <is>
          <t>STK-02</t>
        </is>
      </c>
      <c r="I75" s="103" t="inlineStr">
        <is>
          <t>ALC-01</t>
        </is>
      </c>
      <c r="J75" s="103" t="inlineStr">
        <is>
          <t>RNF-005</t>
        </is>
      </c>
      <c r="K75" s="103" t="inlineStr">
        <is>
          <t>Los formularios de recuperación no revelan si un correo está registrad</t>
        </is>
      </c>
      <c r="L75" s="103" t="inlineStr">
        <is>
          <t>—</t>
        </is>
      </c>
      <c r="M75" s="103" t="inlineStr">
        <is>
          <t>—</t>
        </is>
      </c>
      <c r="N75" s="103" t="inlineStr">
        <is>
          <t>—</t>
        </is>
      </c>
      <c r="O75" s="103" t="inlineStr">
        <is>
          <t>Todas</t>
        </is>
      </c>
      <c r="P75" s="103" t="inlineStr">
        <is>
          <t>Middlewares y configuracion</t>
        </is>
      </c>
      <c r="Q75" s="103" t="inlineStr">
        <is>
          <t>Todas</t>
        </is>
      </c>
      <c r="R75" s="103" t="inlineStr">
        <is>
          <t>—</t>
        </is>
      </c>
      <c r="S75" s="103" t="inlineStr">
        <is>
          <t>CP-005</t>
        </is>
      </c>
      <c r="T75" s="103" t="inlineStr">
        <is>
          <t>Seguridad</t>
        </is>
      </c>
      <c r="U75" s="103" t="inlineStr">
        <is>
          <t>Aprobado</t>
        </is>
      </c>
      <c r="V75" s="103" t="inlineStr">
        <is>
          <t>EV-005</t>
        </is>
      </c>
      <c r="W75" s="103" t="inlineStr">
        <is>
          <t>Plan de Calidad, seccion de controles</t>
        </is>
      </c>
      <c r="X75" s="103" t="inlineStr">
        <is>
          <t>Juan Carlos Quintero Romero</t>
        </is>
      </c>
      <c r="Y75" s="103" t="inlineStr">
        <is>
          <t>Harryson [apellidos por completar]</t>
        </is>
      </c>
      <c r="Z75" s="103" t="inlineStr">
        <is>
          <t>Aprobado</t>
        </is>
      </c>
      <c r="AA75" s="103" t="inlineStr">
        <is>
          <t>Implementado</t>
        </is>
      </c>
      <c r="AB75" s="103" t="inlineStr">
        <is>
          <t>Aprobado</t>
        </is>
      </c>
      <c r="AC75" s="103" t="inlineStr">
        <is>
          <t>Disponible</t>
        </is>
      </c>
      <c r="AD75" s="103">
        <f>IF(AND(AA75="Implementado",AB75="Aprobado",AC75="Disponible"),"Completa",IF(COUNTA(AA75:AC75)=0,"Sin iniciar","Parcial"))</f>
        <v/>
      </c>
      <c r="AE75" s="104" t="inlineStr">
        <is>
          <t>Respuesta y tiempo idénticos exista o no la cuenta.</t>
        </is>
      </c>
    </row>
    <row r="76" ht="15" customHeight="1" s="71">
      <c r="A76" s="102" t="inlineStr">
        <is>
          <t>TRZ-073</t>
        </is>
      </c>
      <c r="B76" s="103" t="inlineStr">
        <is>
          <t>1.5</t>
        </is>
      </c>
      <c r="C76" s="103" t="inlineStr">
        <is>
          <t>Seguridad</t>
        </is>
      </c>
      <c r="D76" s="103" t="inlineStr">
        <is>
          <t>RNF</t>
        </is>
      </c>
      <c r="E76" s="103" t="inlineStr">
        <is>
          <t>Crítica</t>
        </is>
      </c>
      <c r="F76" s="103" t="inlineStr">
        <is>
          <t>PRO-01</t>
        </is>
      </c>
      <c r="G76" s="103" t="inlineStr">
        <is>
          <t>OBJ-04</t>
        </is>
      </c>
      <c r="H76" s="103" t="inlineStr">
        <is>
          <t>STK-02</t>
        </is>
      </c>
      <c r="I76" s="103" t="inlineStr">
        <is>
          <t>ALC-01</t>
        </is>
      </c>
      <c r="J76" s="103" t="inlineStr">
        <is>
          <t>RNF-006</t>
        </is>
      </c>
      <c r="K76" s="103" t="inlineStr">
        <is>
          <t>Las rutas sensibles limitan el número de intentos por origen y correo.</t>
        </is>
      </c>
      <c r="L76" s="103" t="inlineStr">
        <is>
          <t>—</t>
        </is>
      </c>
      <c r="M76" s="103" t="inlineStr">
        <is>
          <t>—</t>
        </is>
      </c>
      <c r="N76" s="103" t="inlineStr">
        <is>
          <t>—</t>
        </is>
      </c>
      <c r="O76" s="103" t="inlineStr">
        <is>
          <t>Todas</t>
        </is>
      </c>
      <c r="P76" s="103" t="inlineStr">
        <is>
          <t>Middlewares y configuracion</t>
        </is>
      </c>
      <c r="Q76" s="103" t="inlineStr">
        <is>
          <t>Todas</t>
        </is>
      </c>
      <c r="R76" s="103" t="inlineStr">
        <is>
          <t>—</t>
        </is>
      </c>
      <c r="S76" s="103" t="inlineStr">
        <is>
          <t>CP-006</t>
        </is>
      </c>
      <c r="T76" s="103" t="inlineStr">
        <is>
          <t>Seguridad</t>
        </is>
      </c>
      <c r="U76" s="103" t="inlineStr">
        <is>
          <t>Aprobado</t>
        </is>
      </c>
      <c r="V76" s="103" t="inlineStr">
        <is>
          <t>EV-006</t>
        </is>
      </c>
      <c r="W76" s="103" t="inlineStr">
        <is>
          <t>Plan de Calidad, seccion de controles</t>
        </is>
      </c>
      <c r="X76" s="103" t="inlineStr">
        <is>
          <t>Juan Carlos Quintero Romero</t>
        </is>
      </c>
      <c r="Y76" s="103" t="inlineStr">
        <is>
          <t>Harryson [apellidos por completar]</t>
        </is>
      </c>
      <c r="Z76" s="103" t="inlineStr">
        <is>
          <t>Aprobado</t>
        </is>
      </c>
      <c r="AA76" s="103" t="inlineStr">
        <is>
          <t>Implementado</t>
        </is>
      </c>
      <c r="AB76" s="103" t="inlineStr">
        <is>
          <t>Aprobado</t>
        </is>
      </c>
      <c r="AC76" s="103" t="inlineStr">
        <is>
          <t>Disponible</t>
        </is>
      </c>
      <c r="AD76" s="103">
        <f>IF(AND(AA76="Implementado",AB76="Aprobado",AC76="Disponible"),"Completa",IF(COUNTA(AA76:AC76)=0,"Sin iniciar","Parcial"))</f>
        <v/>
      </c>
      <c r="AE76" s="104" t="inlineStr">
        <is>
          <t>Cinco solicitudes de recuperación y tres reenvíos cada quince minutos.</t>
        </is>
      </c>
    </row>
    <row r="77" ht="15" customHeight="1" s="71">
      <c r="A77" s="102" t="inlineStr">
        <is>
          <t>TRZ-074</t>
        </is>
      </c>
      <c r="B77" s="103" t="inlineStr">
        <is>
          <t>1.5</t>
        </is>
      </c>
      <c r="C77" s="103" t="inlineStr">
        <is>
          <t>Seguridad</t>
        </is>
      </c>
      <c r="D77" s="103" t="inlineStr">
        <is>
          <t>RNF</t>
        </is>
      </c>
      <c r="E77" s="103" t="inlineStr">
        <is>
          <t>Crítica</t>
        </is>
      </c>
      <c r="F77" s="103" t="inlineStr">
        <is>
          <t>PRO-01</t>
        </is>
      </c>
      <c r="G77" s="103" t="inlineStr">
        <is>
          <t>OBJ-04</t>
        </is>
      </c>
      <c r="H77" s="103" t="inlineStr">
        <is>
          <t>STK-02</t>
        </is>
      </c>
      <c r="I77" s="103" t="inlineStr">
        <is>
          <t>ALC-01</t>
        </is>
      </c>
      <c r="J77" s="103" t="inlineStr">
        <is>
          <t>RNF-007</t>
        </is>
      </c>
      <c r="K77" s="103" t="inlineStr">
        <is>
          <t>Un cliente no puede acceder a información de otro cliente.</t>
        </is>
      </c>
      <c r="L77" s="103" t="inlineStr">
        <is>
          <t>—</t>
        </is>
      </c>
      <c r="M77" s="103" t="inlineStr">
        <is>
          <t>—</t>
        </is>
      </c>
      <c r="N77" s="103" t="inlineStr">
        <is>
          <t>—</t>
        </is>
      </c>
      <c r="O77" s="103" t="inlineStr">
        <is>
          <t>Todas</t>
        </is>
      </c>
      <c r="P77" s="103" t="inlineStr">
        <is>
          <t>Middlewares y configuracion</t>
        </is>
      </c>
      <c r="Q77" s="103" t="inlineStr">
        <is>
          <t>Todas</t>
        </is>
      </c>
      <c r="R77" s="103" t="inlineStr">
        <is>
          <t>—</t>
        </is>
      </c>
      <c r="S77" s="103" t="inlineStr">
        <is>
          <t>CP-007</t>
        </is>
      </c>
      <c r="T77" s="103" t="inlineStr">
        <is>
          <t>Seguridad</t>
        </is>
      </c>
      <c r="U77" s="103" t="inlineStr">
        <is>
          <t>Aprobado</t>
        </is>
      </c>
      <c r="V77" s="103" t="inlineStr">
        <is>
          <t>EV-007</t>
        </is>
      </c>
      <c r="W77" s="103" t="inlineStr">
        <is>
          <t>Plan de Calidad, seccion de controles</t>
        </is>
      </c>
      <c r="X77" s="103" t="inlineStr">
        <is>
          <t>Juan Carlos Quintero Romero</t>
        </is>
      </c>
      <c r="Y77" s="103" t="inlineStr">
        <is>
          <t>Harryson [apellidos por completar]</t>
        </is>
      </c>
      <c r="Z77" s="103" t="inlineStr">
        <is>
          <t>Aprobado</t>
        </is>
      </c>
      <c r="AA77" s="103" t="inlineStr">
        <is>
          <t>Implementado</t>
        </is>
      </c>
      <c r="AB77" s="103" t="inlineStr">
        <is>
          <t>Aprobado</t>
        </is>
      </c>
      <c r="AC77" s="103" t="inlineStr">
        <is>
          <t>Disponible</t>
        </is>
      </c>
      <c r="AD77" s="103">
        <f>IF(AND(AA77="Implementado",AB77="Aprobado",AC77="Disponible"),"Completa",IF(COUNTA(AA77:AC77)=0,"Sin iniciar","Parcial"))</f>
        <v/>
      </c>
      <c r="AE77" s="104" t="inlineStr">
        <is>
          <t>Comprobación de propiedad en todas las rutas accesibles al rol CLIENTE.</t>
        </is>
      </c>
    </row>
    <row r="78" ht="15" customHeight="1" s="71">
      <c r="A78" s="102" t="inlineStr">
        <is>
          <t>TRZ-075</t>
        </is>
      </c>
      <c r="B78" s="103" t="inlineStr">
        <is>
          <t>1.5</t>
        </is>
      </c>
      <c r="C78" s="103" t="inlineStr">
        <is>
          <t>Seguridad</t>
        </is>
      </c>
      <c r="D78" s="103" t="inlineStr">
        <is>
          <t>RNF</t>
        </is>
      </c>
      <c r="E78" s="103" t="inlineStr">
        <is>
          <t>Crítica</t>
        </is>
      </c>
      <c r="F78" s="103" t="inlineStr">
        <is>
          <t>PRO-01</t>
        </is>
      </c>
      <c r="G78" s="103" t="inlineStr">
        <is>
          <t>OBJ-04</t>
        </is>
      </c>
      <c r="H78" s="103" t="inlineStr">
        <is>
          <t>STK-02</t>
        </is>
      </c>
      <c r="I78" s="103" t="inlineStr">
        <is>
          <t>ALC-01</t>
        </is>
      </c>
      <c r="J78" s="103" t="inlineStr">
        <is>
          <t>RNF-008</t>
        </is>
      </c>
      <c r="K78" s="103" t="inlineStr">
        <is>
          <t>La consulta pública expone una proyección mínima de datos.</t>
        </is>
      </c>
      <c r="L78" s="103" t="inlineStr">
        <is>
          <t>—</t>
        </is>
      </c>
      <c r="M78" s="103" t="inlineStr">
        <is>
          <t>—</t>
        </is>
      </c>
      <c r="N78" s="103" t="inlineStr">
        <is>
          <t>—</t>
        </is>
      </c>
      <c r="O78" s="103" t="inlineStr">
        <is>
          <t>Todas</t>
        </is>
      </c>
      <c r="P78" s="103" t="inlineStr">
        <is>
          <t>Middlewares y configuracion</t>
        </is>
      </c>
      <c r="Q78" s="103" t="inlineStr">
        <is>
          <t>Todas</t>
        </is>
      </c>
      <c r="R78" s="103" t="inlineStr">
        <is>
          <t>—</t>
        </is>
      </c>
      <c r="S78" s="103" t="inlineStr">
        <is>
          <t>CP-008</t>
        </is>
      </c>
      <c r="T78" s="103" t="inlineStr">
        <is>
          <t>Seguridad</t>
        </is>
      </c>
      <c r="U78" s="103" t="inlineStr">
        <is>
          <t>Aprobado</t>
        </is>
      </c>
      <c r="V78" s="103" t="inlineStr">
        <is>
          <t>EV-008</t>
        </is>
      </c>
      <c r="W78" s="103" t="inlineStr">
        <is>
          <t>Plan de Calidad, seccion de controles</t>
        </is>
      </c>
      <c r="X78" s="103" t="inlineStr">
        <is>
          <t>Juan Carlos Quintero Romero</t>
        </is>
      </c>
      <c r="Y78" s="103" t="inlineStr">
        <is>
          <t>Harryson [apellidos por completar]</t>
        </is>
      </c>
      <c r="Z78" s="103" t="inlineStr">
        <is>
          <t>Aprobado</t>
        </is>
      </c>
      <c r="AA78" s="103" t="inlineStr">
        <is>
          <t>Implementado</t>
        </is>
      </c>
      <c r="AB78" s="103" t="inlineStr">
        <is>
          <t>Aprobado</t>
        </is>
      </c>
      <c r="AC78" s="103" t="inlineStr">
        <is>
          <t>Disponible</t>
        </is>
      </c>
      <c r="AD78" s="103">
        <f>IF(AND(AA78="Implementado",AB78="Aprobado",AC78="Disponible"),"Completa",IF(COUNTA(AA78:AC78)=0,"Sin iniciar","Parcial"))</f>
        <v/>
      </c>
      <c r="AE78" s="104" t="inlineStr">
        <is>
          <t>Sin nombres, correos, teléfonos, cotización ni valores de factura.</t>
        </is>
      </c>
    </row>
    <row r="79" ht="15" customHeight="1" s="71">
      <c r="A79" s="102" t="inlineStr">
        <is>
          <t>TRZ-076</t>
        </is>
      </c>
      <c r="B79" s="103" t="inlineStr">
        <is>
          <t>1.5</t>
        </is>
      </c>
      <c r="C79" s="103" t="inlineStr">
        <is>
          <t>Seguridad</t>
        </is>
      </c>
      <c r="D79" s="103" t="inlineStr">
        <is>
          <t>RNF</t>
        </is>
      </c>
      <c r="E79" s="103" t="inlineStr">
        <is>
          <t>Crítica</t>
        </is>
      </c>
      <c r="F79" s="103" t="inlineStr">
        <is>
          <t>PRO-01</t>
        </is>
      </c>
      <c r="G79" s="103" t="inlineStr">
        <is>
          <t>OBJ-04</t>
        </is>
      </c>
      <c r="H79" s="103" t="inlineStr">
        <is>
          <t>STK-02</t>
        </is>
      </c>
      <c r="I79" s="103" t="inlineStr">
        <is>
          <t>ALC-01</t>
        </is>
      </c>
      <c r="J79" s="103" t="inlineStr">
        <is>
          <t>RNF-009</t>
        </is>
      </c>
      <c r="K79" s="103" t="inlineStr">
        <is>
          <t>El origen permitido del navegador se declara de forma explícita.</t>
        </is>
      </c>
      <c r="L79" s="103" t="inlineStr">
        <is>
          <t>—</t>
        </is>
      </c>
      <c r="M79" s="103" t="inlineStr">
        <is>
          <t>—</t>
        </is>
      </c>
      <c r="N79" s="103" t="inlineStr">
        <is>
          <t>—</t>
        </is>
      </c>
      <c r="O79" s="103" t="inlineStr">
        <is>
          <t>Todas</t>
        </is>
      </c>
      <c r="P79" s="103" t="inlineStr">
        <is>
          <t>Middlewares y configuracion</t>
        </is>
      </c>
      <c r="Q79" s="103" t="inlineStr">
        <is>
          <t>Todas</t>
        </is>
      </c>
      <c r="R79" s="103" t="inlineStr">
        <is>
          <t>—</t>
        </is>
      </c>
      <c r="S79" s="103" t="inlineStr">
        <is>
          <t>CP-009</t>
        </is>
      </c>
      <c r="T79" s="103" t="inlineStr">
        <is>
          <t>Seguridad</t>
        </is>
      </c>
      <c r="U79" s="103" t="inlineStr">
        <is>
          <t>Aprobado</t>
        </is>
      </c>
      <c r="V79" s="103" t="inlineStr">
        <is>
          <t>EV-009</t>
        </is>
      </c>
      <c r="W79" s="103" t="inlineStr">
        <is>
          <t>Plan de Calidad, seccion de controles</t>
        </is>
      </c>
      <c r="X79" s="103" t="inlineStr">
        <is>
          <t>Juan Carlos Quintero Romero</t>
        </is>
      </c>
      <c r="Y79" s="103" t="inlineStr">
        <is>
          <t>Harryson [apellidos por completar]</t>
        </is>
      </c>
      <c r="Z79" s="103" t="inlineStr">
        <is>
          <t>Aprobado</t>
        </is>
      </c>
      <c r="AA79" s="103" t="inlineStr">
        <is>
          <t>Implementado</t>
        </is>
      </c>
      <c r="AB79" s="103" t="inlineStr">
        <is>
          <t>Aprobado</t>
        </is>
      </c>
      <c r="AC79" s="103" t="inlineStr">
        <is>
          <t>Disponible</t>
        </is>
      </c>
      <c r="AD79" s="103">
        <f>IF(AND(AA79="Implementado",AB79="Aprobado",AC79="Disponible"),"Completa",IF(COUNTA(AA79:AC79)=0,"Sin iniciar","Parcial"))</f>
        <v/>
      </c>
      <c r="AE79" s="104" t="inlineStr">
        <is>
          <t>CORS configurado con la URL del frontend; nunca comodín.</t>
        </is>
      </c>
    </row>
    <row r="80" ht="15" customHeight="1" s="71">
      <c r="A80" s="102" t="inlineStr">
        <is>
          <t>TRZ-077</t>
        </is>
      </c>
      <c r="B80" s="103" t="inlineStr">
        <is>
          <t>1.5</t>
        </is>
      </c>
      <c r="C80" s="103" t="inlineStr">
        <is>
          <t>Seguridad</t>
        </is>
      </c>
      <c r="D80" s="103" t="inlineStr">
        <is>
          <t>RNF</t>
        </is>
      </c>
      <c r="E80" s="103" t="inlineStr">
        <is>
          <t>Crítica</t>
        </is>
      </c>
      <c r="F80" s="103" t="inlineStr">
        <is>
          <t>PRO-01</t>
        </is>
      </c>
      <c r="G80" s="103" t="inlineStr">
        <is>
          <t>OBJ-04</t>
        </is>
      </c>
      <c r="H80" s="103" t="inlineStr">
        <is>
          <t>STK-02</t>
        </is>
      </c>
      <c r="I80" s="103" t="inlineStr">
        <is>
          <t>ALC-01</t>
        </is>
      </c>
      <c r="J80" s="103" t="inlineStr">
        <is>
          <t>RNF-010</t>
        </is>
      </c>
      <c r="K80" s="103" t="inlineStr">
        <is>
          <t>Toda entrada se valida antes de llegar a la lógica de negocio.</t>
        </is>
      </c>
      <c r="L80" s="103" t="inlineStr">
        <is>
          <t>—</t>
        </is>
      </c>
      <c r="M80" s="103" t="inlineStr">
        <is>
          <t>—</t>
        </is>
      </c>
      <c r="N80" s="103" t="inlineStr">
        <is>
          <t>—</t>
        </is>
      </c>
      <c r="O80" s="103" t="inlineStr">
        <is>
          <t>Todas</t>
        </is>
      </c>
      <c r="P80" s="103" t="inlineStr">
        <is>
          <t>Middlewares y configuracion</t>
        </is>
      </c>
      <c r="Q80" s="103" t="inlineStr">
        <is>
          <t>Todas</t>
        </is>
      </c>
      <c r="R80" s="103" t="inlineStr">
        <is>
          <t>—</t>
        </is>
      </c>
      <c r="S80" s="103" t="inlineStr">
        <is>
          <t>CP-010</t>
        </is>
      </c>
      <c r="T80" s="103" t="inlineStr">
        <is>
          <t>Seguridad</t>
        </is>
      </c>
      <c r="U80" s="103" t="inlineStr">
        <is>
          <t>Aprobado</t>
        </is>
      </c>
      <c r="V80" s="103" t="inlineStr">
        <is>
          <t>EV-010</t>
        </is>
      </c>
      <c r="W80" s="103" t="inlineStr">
        <is>
          <t>Plan de Calidad, seccion de controles</t>
        </is>
      </c>
      <c r="X80" s="103" t="inlineStr">
        <is>
          <t>Juan Carlos Quintero Romero</t>
        </is>
      </c>
      <c r="Y80" s="103" t="inlineStr">
        <is>
          <t>Harryson [apellidos por completar]</t>
        </is>
      </c>
      <c r="Z80" s="103" t="inlineStr">
        <is>
          <t>Aprobado</t>
        </is>
      </c>
      <c r="AA80" s="103" t="inlineStr">
        <is>
          <t>Implementado</t>
        </is>
      </c>
      <c r="AB80" s="103" t="inlineStr">
        <is>
          <t>Aprobado</t>
        </is>
      </c>
      <c r="AC80" s="103" t="inlineStr">
        <is>
          <t>Disponible</t>
        </is>
      </c>
      <c r="AD80" s="103">
        <f>IF(AND(AA80="Implementado",AB80="Aprobado",AC80="Disponible"),"Completa",IF(COUNTA(AA80:AC80)=0,"Sin iniciar","Parcial"))</f>
        <v/>
      </c>
      <c r="AE80" s="104" t="inlineStr">
        <is>
          <t>Validadores declarados en los 60 endpoints con cuerpo o parámetros.</t>
        </is>
      </c>
    </row>
    <row r="81" ht="15" customHeight="1" s="71">
      <c r="A81" s="102" t="inlineStr">
        <is>
          <t>TRZ-078</t>
        </is>
      </c>
      <c r="B81" s="103" t="inlineStr">
        <is>
          <t>1.5</t>
        </is>
      </c>
      <c r="C81" s="103" t="inlineStr">
        <is>
          <t>Integridad</t>
        </is>
      </c>
      <c r="D81" s="103" t="inlineStr">
        <is>
          <t>RNF</t>
        </is>
      </c>
      <c r="E81" s="103" t="inlineStr">
        <is>
          <t>Crítica</t>
        </is>
      </c>
      <c r="F81" s="103" t="inlineStr">
        <is>
          <t>PRO-01</t>
        </is>
      </c>
      <c r="G81" s="103" t="inlineStr">
        <is>
          <t>OBJ-04</t>
        </is>
      </c>
      <c r="H81" s="103" t="inlineStr">
        <is>
          <t>STK-02</t>
        </is>
      </c>
      <c r="I81" s="103" t="inlineStr">
        <is>
          <t>ALC-01</t>
        </is>
      </c>
      <c r="J81" s="103" t="inlineStr">
        <is>
          <t>RNF-011</t>
        </is>
      </c>
      <c r="K81" s="103" t="inlineStr">
        <is>
          <t>El cambio de estado y su registro de auditoría son atómicos.</t>
        </is>
      </c>
      <c r="L81" s="103" t="inlineStr">
        <is>
          <t>—</t>
        </is>
      </c>
      <c r="M81" s="103" t="inlineStr">
        <is>
          <t>—</t>
        </is>
      </c>
      <c r="N81" s="103" t="inlineStr">
        <is>
          <t>—</t>
        </is>
      </c>
      <c r="O81" s="103" t="inlineStr">
        <is>
          <t>Todas</t>
        </is>
      </c>
      <c r="P81" s="103" t="inlineStr">
        <is>
          <t>Middlewares y configuracion</t>
        </is>
      </c>
      <c r="Q81" s="103" t="inlineStr">
        <is>
          <t>Todas</t>
        </is>
      </c>
      <c r="R81" s="103" t="inlineStr">
        <is>
          <t>—</t>
        </is>
      </c>
      <c r="S81" s="103" t="inlineStr">
        <is>
          <t>CP-011</t>
        </is>
      </c>
      <c r="T81" s="103" t="inlineStr">
        <is>
          <t>Manual</t>
        </is>
      </c>
      <c r="U81" s="103" t="inlineStr">
        <is>
          <t>Aprobado</t>
        </is>
      </c>
      <c r="V81" s="103" t="inlineStr">
        <is>
          <t>EV-011</t>
        </is>
      </c>
      <c r="W81" s="103" t="inlineStr">
        <is>
          <t>Plan de Calidad, seccion de controles</t>
        </is>
      </c>
      <c r="X81" s="103" t="inlineStr">
        <is>
          <t>Juan Carlos Quintero Romero</t>
        </is>
      </c>
      <c r="Y81" s="103" t="inlineStr">
        <is>
          <t>Harryson [apellidos por completar]</t>
        </is>
      </c>
      <c r="Z81" s="103" t="inlineStr">
        <is>
          <t>Aprobado</t>
        </is>
      </c>
      <c r="AA81" s="103" t="inlineStr">
        <is>
          <t>Implementado</t>
        </is>
      </c>
      <c r="AB81" s="103" t="inlineStr">
        <is>
          <t>Aprobado</t>
        </is>
      </c>
      <c r="AC81" s="103" t="inlineStr">
        <is>
          <t>Disponible</t>
        </is>
      </c>
      <c r="AD81" s="103">
        <f>IF(AND(AA81="Implementado",AB81="Aprobado",AC81="Disponible"),"Completa",IF(COUNTA(AA81:AC81)=0,"Sin iniciar","Parcial"))</f>
        <v/>
      </c>
      <c r="AE81" s="104" t="inlineStr">
        <is>
          <t>Ambas escrituras ocurren dentro de la misma transacción de base de datos.</t>
        </is>
      </c>
    </row>
    <row r="82" ht="15" customHeight="1" s="71">
      <c r="A82" s="102" t="inlineStr">
        <is>
          <t>TRZ-079</t>
        </is>
      </c>
      <c r="B82" s="103" t="inlineStr">
        <is>
          <t>1.5</t>
        </is>
      </c>
      <c r="C82" s="103" t="inlineStr">
        <is>
          <t>Operación</t>
        </is>
      </c>
      <c r="D82" s="103" t="inlineStr">
        <is>
          <t>RNF</t>
        </is>
      </c>
      <c r="E82" s="103" t="inlineStr">
        <is>
          <t>Alta</t>
        </is>
      </c>
      <c r="F82" s="103" t="inlineStr">
        <is>
          <t>PRO-01</t>
        </is>
      </c>
      <c r="G82" s="103" t="inlineStr">
        <is>
          <t>OBJ-04</t>
        </is>
      </c>
      <c r="H82" s="103" t="inlineStr">
        <is>
          <t>STK-02</t>
        </is>
      </c>
      <c r="I82" s="103" t="inlineStr">
        <is>
          <t>ALC-01</t>
        </is>
      </c>
      <c r="J82" s="103" t="inlineStr">
        <is>
          <t>RNF-012</t>
        </is>
      </c>
      <c r="K82" s="103" t="inlineStr">
        <is>
          <t>La aplicación no arranca si falta una variable de entorno obligatoria.</t>
        </is>
      </c>
      <c r="L82" s="103" t="inlineStr">
        <is>
          <t>—</t>
        </is>
      </c>
      <c r="M82" s="103" t="inlineStr">
        <is>
          <t>—</t>
        </is>
      </c>
      <c r="N82" s="103" t="inlineStr">
        <is>
          <t>—</t>
        </is>
      </c>
      <c r="O82" s="103" t="inlineStr">
        <is>
          <t>Todas</t>
        </is>
      </c>
      <c r="P82" s="103" t="inlineStr">
        <is>
          <t>Middlewares y configuracion</t>
        </is>
      </c>
      <c r="Q82" s="103" t="inlineStr">
        <is>
          <t>Todas</t>
        </is>
      </c>
      <c r="R82" s="103" t="inlineStr">
        <is>
          <t>—</t>
        </is>
      </c>
      <c r="S82" s="103" t="inlineStr">
        <is>
          <t>CP-012</t>
        </is>
      </c>
      <c r="T82" s="103" t="inlineStr">
        <is>
          <t>Manual</t>
        </is>
      </c>
      <c r="U82" s="103" t="inlineStr">
        <is>
          <t>Aprobado</t>
        </is>
      </c>
      <c r="V82" s="103" t="inlineStr">
        <is>
          <t>EV-012</t>
        </is>
      </c>
      <c r="W82" s="103" t="inlineStr">
        <is>
          <t>Plan de Calidad, seccion de controles</t>
        </is>
      </c>
      <c r="X82" s="103" t="inlineStr">
        <is>
          <t>Juan Carlos Quintero Romero</t>
        </is>
      </c>
      <c r="Y82" s="103" t="inlineStr">
        <is>
          <t>Harryson [apellidos por completar]</t>
        </is>
      </c>
      <c r="Z82" s="103" t="inlineStr">
        <is>
          <t>Aprobado</t>
        </is>
      </c>
      <c r="AA82" s="103" t="inlineStr">
        <is>
          <t>Implementado</t>
        </is>
      </c>
      <c r="AB82" s="103" t="inlineStr">
        <is>
          <t>Aprobado</t>
        </is>
      </c>
      <c r="AC82" s="103" t="inlineStr">
        <is>
          <t>Disponible</t>
        </is>
      </c>
      <c r="AD82" s="103">
        <f>IF(AND(AA82="Implementado",AB82="Aprobado",AC82="Disponible"),"Completa",IF(COUNTA(AA82:AC82)=0,"Sin iniciar","Parcial"))</f>
        <v/>
      </c>
      <c r="AE82" s="104" t="inlineStr">
        <is>
          <t>Validación al inicio con mensaje explícito y salida del proceso.</t>
        </is>
      </c>
    </row>
    <row r="83" ht="15" customHeight="1" s="71">
      <c r="A83" s="102" t="inlineStr">
        <is>
          <t>TRZ-080</t>
        </is>
      </c>
      <c r="B83" s="103" t="inlineStr">
        <is>
          <t>1.5</t>
        </is>
      </c>
      <c r="C83" s="103" t="inlineStr">
        <is>
          <t>Operación</t>
        </is>
      </c>
      <c r="D83" s="103" t="inlineStr">
        <is>
          <t>RNF</t>
        </is>
      </c>
      <c r="E83" s="103" t="inlineStr">
        <is>
          <t>Alta</t>
        </is>
      </c>
      <c r="F83" s="103" t="inlineStr">
        <is>
          <t>PRO-01</t>
        </is>
      </c>
      <c r="G83" s="103" t="inlineStr">
        <is>
          <t>OBJ-04</t>
        </is>
      </c>
      <c r="H83" s="103" t="inlineStr">
        <is>
          <t>STK-02</t>
        </is>
      </c>
      <c r="I83" s="103" t="inlineStr">
        <is>
          <t>ALC-01</t>
        </is>
      </c>
      <c r="J83" s="103" t="inlineStr">
        <is>
          <t>RNF-013</t>
        </is>
      </c>
      <c r="K83" s="103" t="inlineStr">
        <is>
          <t>El servidor cierra de forma ordenada al recibir una señal de término.</t>
        </is>
      </c>
      <c r="L83" s="103" t="inlineStr">
        <is>
          <t>—</t>
        </is>
      </c>
      <c r="M83" s="103" t="inlineStr">
        <is>
          <t>—</t>
        </is>
      </c>
      <c r="N83" s="103" t="inlineStr">
        <is>
          <t>—</t>
        </is>
      </c>
      <c r="O83" s="103" t="inlineStr">
        <is>
          <t>Todas</t>
        </is>
      </c>
      <c r="P83" s="103" t="inlineStr">
        <is>
          <t>Middlewares y configuracion</t>
        </is>
      </c>
      <c r="Q83" s="103" t="inlineStr">
        <is>
          <t>Todas</t>
        </is>
      </c>
      <c r="R83" s="103" t="inlineStr">
        <is>
          <t>—</t>
        </is>
      </c>
      <c r="S83" s="103" t="inlineStr">
        <is>
          <t>CP-013</t>
        </is>
      </c>
      <c r="T83" s="103" t="inlineStr">
        <is>
          <t>Manual</t>
        </is>
      </c>
      <c r="U83" s="103" t="inlineStr">
        <is>
          <t>Aprobado</t>
        </is>
      </c>
      <c r="V83" s="103" t="inlineStr">
        <is>
          <t>EV-013</t>
        </is>
      </c>
      <c r="W83" s="103" t="inlineStr">
        <is>
          <t>Plan de Calidad, seccion de controles</t>
        </is>
      </c>
      <c r="X83" s="103" t="inlineStr">
        <is>
          <t>Juan Carlos Quintero Romero</t>
        </is>
      </c>
      <c r="Y83" s="103" t="inlineStr">
        <is>
          <t>Harryson [apellidos por completar]</t>
        </is>
      </c>
      <c r="Z83" s="103" t="inlineStr">
        <is>
          <t>Aprobado</t>
        </is>
      </c>
      <c r="AA83" s="103" t="inlineStr">
        <is>
          <t>Implementado</t>
        </is>
      </c>
      <c r="AB83" s="103" t="inlineStr">
        <is>
          <t>Aprobado</t>
        </is>
      </c>
      <c r="AC83" s="103" t="inlineStr">
        <is>
          <t>Disponible</t>
        </is>
      </c>
      <c r="AD83" s="103">
        <f>IF(AND(AA83="Implementado",AB83="Aprobado",AC83="Disponible"),"Completa",IF(COUNTA(AA83:AC83)=0,"Sin iniciar","Parcial"))</f>
        <v/>
      </c>
      <c r="AE83" s="104" t="inlineStr">
        <is>
          <t>Cierre de la conexión a base de datos y salida forzada a los diez segundos.</t>
        </is>
      </c>
    </row>
    <row r="84" ht="15" customHeight="1" s="71">
      <c r="A84" s="102" t="inlineStr">
        <is>
          <t>TRZ-081</t>
        </is>
      </c>
      <c r="B84" s="103" t="inlineStr">
        <is>
          <t>1.5</t>
        </is>
      </c>
      <c r="C84" s="103" t="inlineStr">
        <is>
          <t>Operación</t>
        </is>
      </c>
      <c r="D84" s="103" t="inlineStr">
        <is>
          <t>RNF</t>
        </is>
      </c>
      <c r="E84" s="103" t="inlineStr">
        <is>
          <t>Alta</t>
        </is>
      </c>
      <c r="F84" s="103" t="inlineStr">
        <is>
          <t>PRO-01</t>
        </is>
      </c>
      <c r="G84" s="103" t="inlineStr">
        <is>
          <t>OBJ-04</t>
        </is>
      </c>
      <c r="H84" s="103" t="inlineStr">
        <is>
          <t>STK-02</t>
        </is>
      </c>
      <c r="I84" s="103" t="inlineStr">
        <is>
          <t>ALC-01</t>
        </is>
      </c>
      <c r="J84" s="103" t="inlineStr">
        <is>
          <t>RNF-014</t>
        </is>
      </c>
      <c r="K84" s="103" t="inlineStr">
        <is>
          <t>El estado de salud del servicio comprueba la base de datos.</t>
        </is>
      </c>
      <c r="L84" s="103" t="inlineStr">
        <is>
          <t>—</t>
        </is>
      </c>
      <c r="M84" s="103" t="inlineStr">
        <is>
          <t>—</t>
        </is>
      </c>
      <c r="N84" s="103" t="inlineStr">
        <is>
          <t>—</t>
        </is>
      </c>
      <c r="O84" s="103" t="inlineStr">
        <is>
          <t>Todas</t>
        </is>
      </c>
      <c r="P84" s="103" t="inlineStr">
        <is>
          <t>Middlewares y configuracion</t>
        </is>
      </c>
      <c r="Q84" s="103" t="inlineStr">
        <is>
          <t>Todas</t>
        </is>
      </c>
      <c r="R84" s="103" t="inlineStr">
        <is>
          <t>—</t>
        </is>
      </c>
      <c r="S84" s="103" t="inlineStr">
        <is>
          <t>CP-014</t>
        </is>
      </c>
      <c r="T84" s="103" t="inlineStr">
        <is>
          <t>Manual</t>
        </is>
      </c>
      <c r="U84" s="103" t="inlineStr">
        <is>
          <t>Aprobado</t>
        </is>
      </c>
      <c r="V84" s="103" t="inlineStr">
        <is>
          <t>EV-014</t>
        </is>
      </c>
      <c r="W84" s="103" t="inlineStr">
        <is>
          <t>Plan de Calidad, seccion de controles</t>
        </is>
      </c>
      <c r="X84" s="103" t="inlineStr">
        <is>
          <t>Juan Carlos Quintero Romero</t>
        </is>
      </c>
      <c r="Y84" s="103" t="inlineStr">
        <is>
          <t>Harryson [apellidos por completar]</t>
        </is>
      </c>
      <c r="Z84" s="103" t="inlineStr">
        <is>
          <t>Aprobado</t>
        </is>
      </c>
      <c r="AA84" s="103" t="inlineStr">
        <is>
          <t>Implementado</t>
        </is>
      </c>
      <c r="AB84" s="103" t="inlineStr">
        <is>
          <t>Aprobado</t>
        </is>
      </c>
      <c r="AC84" s="103" t="inlineStr">
        <is>
          <t>Disponible</t>
        </is>
      </c>
      <c r="AD84" s="103">
        <f>IF(AND(AA84="Implementado",AB84="Aprobado",AC84="Disponible"),"Completa",IF(COUNTA(AA84:AC84)=0,"Sin iniciar","Parcial"))</f>
        <v/>
      </c>
      <c r="AE84" s="104" t="inlineStr">
        <is>
          <t>El endpoint de salud ejecuta una consulta real contra PostgreSQL.</t>
        </is>
      </c>
    </row>
    <row r="85" ht="15" customHeight="1" s="71">
      <c r="A85" s="102" t="inlineStr">
        <is>
          <t>TRZ-082</t>
        </is>
      </c>
      <c r="B85" s="103" t="inlineStr">
        <is>
          <t>1.5</t>
        </is>
      </c>
      <c r="C85" s="103" t="inlineStr">
        <is>
          <t>Operación</t>
        </is>
      </c>
      <c r="D85" s="103" t="inlineStr">
        <is>
          <t>RNF</t>
        </is>
      </c>
      <c r="E85" s="103" t="inlineStr">
        <is>
          <t>Alta</t>
        </is>
      </c>
      <c r="F85" s="103" t="inlineStr">
        <is>
          <t>PRO-01</t>
        </is>
      </c>
      <c r="G85" s="103" t="inlineStr">
        <is>
          <t>OBJ-04</t>
        </is>
      </c>
      <c r="H85" s="103" t="inlineStr">
        <is>
          <t>STK-02</t>
        </is>
      </c>
      <c r="I85" s="103" t="inlineStr">
        <is>
          <t>ALC-01</t>
        </is>
      </c>
      <c r="J85" s="103" t="inlineStr">
        <is>
          <t>RNF-015</t>
        </is>
      </c>
      <c r="K85" s="103" t="inlineStr">
        <is>
          <t>Un fallo del servicio de correo no interrumpe la operación.</t>
        </is>
      </c>
      <c r="L85" s="103" t="inlineStr">
        <is>
          <t>—</t>
        </is>
      </c>
      <c r="M85" s="103" t="inlineStr">
        <is>
          <t>—</t>
        </is>
      </c>
      <c r="N85" s="103" t="inlineStr">
        <is>
          <t>—</t>
        </is>
      </c>
      <c r="O85" s="103" t="inlineStr">
        <is>
          <t>Todas</t>
        </is>
      </c>
      <c r="P85" s="103" t="inlineStr">
        <is>
          <t>Middlewares y configuracion</t>
        </is>
      </c>
      <c r="Q85" s="103" t="inlineStr">
        <is>
          <t>Todas</t>
        </is>
      </c>
      <c r="R85" s="103" t="inlineStr">
        <is>
          <t>—</t>
        </is>
      </c>
      <c r="S85" s="103" t="inlineStr">
        <is>
          <t>CP-015</t>
        </is>
      </c>
      <c r="T85" s="103" t="inlineStr">
        <is>
          <t>Manual</t>
        </is>
      </c>
      <c r="U85" s="103" t="inlineStr">
        <is>
          <t>Aprobado</t>
        </is>
      </c>
      <c r="V85" s="103" t="inlineStr">
        <is>
          <t>EV-015</t>
        </is>
      </c>
      <c r="W85" s="103" t="inlineStr">
        <is>
          <t>Plan de Calidad, seccion de controles</t>
        </is>
      </c>
      <c r="X85" s="103" t="inlineStr">
        <is>
          <t>Juan Carlos Quintero Romero</t>
        </is>
      </c>
      <c r="Y85" s="103" t="inlineStr">
        <is>
          <t>Harryson [apellidos por completar]</t>
        </is>
      </c>
      <c r="Z85" s="103" t="inlineStr">
        <is>
          <t>Aprobado</t>
        </is>
      </c>
      <c r="AA85" s="103" t="inlineStr">
        <is>
          <t>Implementado</t>
        </is>
      </c>
      <c r="AB85" s="103" t="inlineStr">
        <is>
          <t>Aprobado</t>
        </is>
      </c>
      <c r="AC85" s="103" t="inlineStr">
        <is>
          <t>Disponible</t>
        </is>
      </c>
      <c r="AD85" s="103">
        <f>IF(AND(AA85="Implementado",AB85="Aprobado",AC85="Disponible"),"Completa",IF(COUNTA(AA85:AC85)=0,"Sin iniciar","Parcial"))</f>
        <v/>
      </c>
      <c r="AE85" s="104" t="inlineStr">
        <is>
          <t>El envío se hace sin bloquear; el error se registra y la orden avanza igual.</t>
        </is>
      </c>
    </row>
    <row r="86" ht="15" customHeight="1" s="71">
      <c r="A86" s="102" t="inlineStr">
        <is>
          <t>TRZ-083</t>
        </is>
      </c>
      <c r="B86" s="103" t="inlineStr">
        <is>
          <t>1.5</t>
        </is>
      </c>
      <c r="C86" s="103" t="inlineStr">
        <is>
          <t>Usabilidad</t>
        </is>
      </c>
      <c r="D86" s="103" t="inlineStr">
        <is>
          <t>RNF</t>
        </is>
      </c>
      <c r="E86" s="103" t="inlineStr">
        <is>
          <t>Alta</t>
        </is>
      </c>
      <c r="F86" s="103" t="inlineStr">
        <is>
          <t>PRO-01</t>
        </is>
      </c>
      <c r="G86" s="103" t="inlineStr">
        <is>
          <t>OBJ-04</t>
        </is>
      </c>
      <c r="H86" s="103" t="inlineStr">
        <is>
          <t>STK-02</t>
        </is>
      </c>
      <c r="I86" s="103" t="inlineStr">
        <is>
          <t>ALC-01</t>
        </is>
      </c>
      <c r="J86" s="103" t="inlineStr">
        <is>
          <t>RNF-016</t>
        </is>
      </c>
      <c r="K86" s="103" t="inlineStr">
        <is>
          <t>La interfaz se adapta a pantallas de escritorio y de teléfono.</t>
        </is>
      </c>
      <c r="L86" s="103" t="inlineStr">
        <is>
          <t>—</t>
        </is>
      </c>
      <c r="M86" s="103" t="inlineStr">
        <is>
          <t>—</t>
        </is>
      </c>
      <c r="N86" s="103" t="inlineStr">
        <is>
          <t>—</t>
        </is>
      </c>
      <c r="O86" s="103" t="inlineStr">
        <is>
          <t>Todas</t>
        </is>
      </c>
      <c r="P86" s="103" t="inlineStr">
        <is>
          <t>Middlewares y configuracion</t>
        </is>
      </c>
      <c r="Q86" s="103" t="inlineStr">
        <is>
          <t>Todas</t>
        </is>
      </c>
      <c r="R86" s="103" t="inlineStr">
        <is>
          <t>—</t>
        </is>
      </c>
      <c r="S86" s="103" t="inlineStr">
        <is>
          <t>CP-016</t>
        </is>
      </c>
      <c r="T86" s="103" t="inlineStr">
        <is>
          <t>Manual</t>
        </is>
      </c>
      <c r="U86" s="103" t="inlineStr">
        <is>
          <t>Pendiente</t>
        </is>
      </c>
      <c r="V86" s="103" t="inlineStr">
        <is>
          <t>EV-016</t>
        </is>
      </c>
      <c r="W86" s="103" t="inlineStr">
        <is>
          <t>Plan de Calidad, seccion de controles</t>
        </is>
      </c>
      <c r="X86" s="103" t="inlineStr">
        <is>
          <t>Juan Carlos Quintero Romero</t>
        </is>
      </c>
      <c r="Y86" s="103" t="inlineStr">
        <is>
          <t>Harryson [apellidos por completar]</t>
        </is>
      </c>
      <c r="Z86" s="103" t="inlineStr">
        <is>
          <t>Aprobado</t>
        </is>
      </c>
      <c r="AA86" s="103" t="inlineStr">
        <is>
          <t>En desarrollo</t>
        </is>
      </c>
      <c r="AB86" s="103" t="inlineStr">
        <is>
          <t>Pendiente</t>
        </is>
      </c>
      <c r="AC86" s="103" t="inlineStr">
        <is>
          <t>Incompleta</t>
        </is>
      </c>
      <c r="AD86" s="103">
        <f>IF(AND(AA86="Implementado",AB86="Aprobado",AC86="Disponible"),"Completa",IF(COUNTA(AA86:AC86)=0,"Sin iniciar","Parcial"))</f>
        <v/>
      </c>
      <c r="AE86" s="104" t="inlineStr">
        <is>
          <t>Sin desplazamiento horizontal desde 360 px de ancho.</t>
        </is>
      </c>
    </row>
    <row r="87" ht="15" customHeight="1" s="71">
      <c r="A87" s="102" t="inlineStr">
        <is>
          <t>TRZ-084</t>
        </is>
      </c>
      <c r="B87" s="103" t="inlineStr">
        <is>
          <t>1.5</t>
        </is>
      </c>
      <c r="C87" s="103" t="inlineStr">
        <is>
          <t>Portabilidad</t>
        </is>
      </c>
      <c r="D87" s="103" t="inlineStr">
        <is>
          <t>RNF</t>
        </is>
      </c>
      <c r="E87" s="103" t="inlineStr">
        <is>
          <t>Alta</t>
        </is>
      </c>
      <c r="F87" s="103" t="inlineStr">
        <is>
          <t>PRO-01</t>
        </is>
      </c>
      <c r="G87" s="103" t="inlineStr">
        <is>
          <t>OBJ-04</t>
        </is>
      </c>
      <c r="H87" s="103" t="inlineStr">
        <is>
          <t>STK-02</t>
        </is>
      </c>
      <c r="I87" s="103" t="inlineStr">
        <is>
          <t>ALC-01</t>
        </is>
      </c>
      <c r="J87" s="103" t="inlineStr">
        <is>
          <t>RNF-017</t>
        </is>
      </c>
      <c r="K87" s="103" t="inlineStr">
        <is>
          <t>El proyecto se levanta de forma idéntica en cualquier equipo del grupo</t>
        </is>
      </c>
      <c r="L87" s="103" t="inlineStr">
        <is>
          <t>—</t>
        </is>
      </c>
      <c r="M87" s="103" t="inlineStr">
        <is>
          <t>—</t>
        </is>
      </c>
      <c r="N87" s="103" t="inlineStr">
        <is>
          <t>—</t>
        </is>
      </c>
      <c r="O87" s="103" t="inlineStr">
        <is>
          <t>Todas</t>
        </is>
      </c>
      <c r="P87" s="103" t="inlineStr">
        <is>
          <t>Middlewares y configuracion</t>
        </is>
      </c>
      <c r="Q87" s="103" t="inlineStr">
        <is>
          <t>Todas</t>
        </is>
      </c>
      <c r="R87" s="103" t="inlineStr">
        <is>
          <t>—</t>
        </is>
      </c>
      <c r="S87" s="103" t="inlineStr">
        <is>
          <t>CP-017</t>
        </is>
      </c>
      <c r="T87" s="103" t="inlineStr">
        <is>
          <t>Manual</t>
        </is>
      </c>
      <c r="U87" s="103" t="inlineStr">
        <is>
          <t>Pendiente</t>
        </is>
      </c>
      <c r="V87" s="103" t="inlineStr">
        <is>
          <t>EV-017</t>
        </is>
      </c>
      <c r="W87" s="103" t="inlineStr">
        <is>
          <t>Plan de Calidad, seccion de controles</t>
        </is>
      </c>
      <c r="X87" s="103" t="inlineStr">
        <is>
          <t>Juan Carlos Quintero Romero</t>
        </is>
      </c>
      <c r="Y87" s="103" t="inlineStr">
        <is>
          <t>Harryson [apellidos por completar]</t>
        </is>
      </c>
      <c r="Z87" s="103" t="inlineStr">
        <is>
          <t>Aprobado</t>
        </is>
      </c>
      <c r="AA87" s="103" t="inlineStr">
        <is>
          <t>En desarrollo</t>
        </is>
      </c>
      <c r="AB87" s="103" t="inlineStr">
        <is>
          <t>Pendiente</t>
        </is>
      </c>
      <c r="AC87" s="103" t="inlineStr">
        <is>
          <t>Incompleta</t>
        </is>
      </c>
      <c r="AD87" s="103">
        <f>IF(AND(AA87="Implementado",AB87="Aprobado",AC87="Disponible"),"Completa",IF(COUNTA(AA87:AC87)=0,"Sin iniciar","Parcial"))</f>
        <v/>
      </c>
      <c r="AE87" s="104" t="inlineStr">
        <is>
          <t>Un solo comando de arranque con contenedores, sin configuración manual.</t>
        </is>
      </c>
    </row>
    <row r="88" ht="15" customHeight="1" s="71">
      <c r="A88" s="102" t="inlineStr">
        <is>
          <t>TRZ-085</t>
        </is>
      </c>
      <c r="B88" s="103" t="inlineStr">
        <is>
          <t>1.5</t>
        </is>
      </c>
      <c r="C88" s="103" t="inlineStr">
        <is>
          <t>Rendimiento</t>
        </is>
      </c>
      <c r="D88" s="103" t="inlineStr">
        <is>
          <t>RNF</t>
        </is>
      </c>
      <c r="E88" s="103" t="inlineStr">
        <is>
          <t>Alta</t>
        </is>
      </c>
      <c r="F88" s="103" t="inlineStr">
        <is>
          <t>PRO-01</t>
        </is>
      </c>
      <c r="G88" s="103" t="inlineStr">
        <is>
          <t>OBJ-04</t>
        </is>
      </c>
      <c r="H88" s="103" t="inlineStr">
        <is>
          <t>STK-02</t>
        </is>
      </c>
      <c r="I88" s="103" t="inlineStr">
        <is>
          <t>ALC-01</t>
        </is>
      </c>
      <c r="J88" s="103" t="inlineStr">
        <is>
          <t>RNF-018</t>
        </is>
      </c>
      <c r="K88" s="103" t="inlineStr">
        <is>
          <t>Los listados principales responden en menos de dos segundos.</t>
        </is>
      </c>
      <c r="L88" s="103" t="inlineStr">
        <is>
          <t>—</t>
        </is>
      </c>
      <c r="M88" s="103" t="inlineStr">
        <is>
          <t>—</t>
        </is>
      </c>
      <c r="N88" s="103" t="inlineStr">
        <is>
          <t>—</t>
        </is>
      </c>
      <c r="O88" s="103" t="inlineStr">
        <is>
          <t>Todas</t>
        </is>
      </c>
      <c r="P88" s="103" t="inlineStr">
        <is>
          <t>Middlewares y configuracion</t>
        </is>
      </c>
      <c r="Q88" s="103" t="inlineStr">
        <is>
          <t>Todas</t>
        </is>
      </c>
      <c r="R88" s="103" t="inlineStr">
        <is>
          <t>—</t>
        </is>
      </c>
      <c r="S88" s="103" t="inlineStr">
        <is>
          <t>CP-018</t>
        </is>
      </c>
      <c r="T88" s="103" t="inlineStr">
        <is>
          <t>Manual</t>
        </is>
      </c>
      <c r="U88" s="103" t="inlineStr">
        <is>
          <t>Pendiente</t>
        </is>
      </c>
      <c r="V88" s="103" t="inlineStr">
        <is>
          <t>EV-018</t>
        </is>
      </c>
      <c r="W88" s="103" t="inlineStr">
        <is>
          <t>Plan de Calidad, seccion de controles</t>
        </is>
      </c>
      <c r="X88" s="103" t="inlineStr">
        <is>
          <t>Juan Carlos Quintero Romero</t>
        </is>
      </c>
      <c r="Y88" s="103" t="inlineStr">
        <is>
          <t>Harryson [apellidos por completar]</t>
        </is>
      </c>
      <c r="Z88" s="103" t="inlineStr">
        <is>
          <t>Aprobado</t>
        </is>
      </c>
      <c r="AA88" s="103" t="inlineStr">
        <is>
          <t>En desarrollo</t>
        </is>
      </c>
      <c r="AB88" s="103" t="inlineStr">
        <is>
          <t>Pendiente</t>
        </is>
      </c>
      <c r="AC88" s="103" t="inlineStr">
        <is>
          <t>Incompleta</t>
        </is>
      </c>
      <c r="AD88" s="103">
        <f>IF(AND(AA88="Implementado",AB88="Aprobado",AC88="Disponible"),"Completa",IF(COUNTA(AA88:AC88)=0,"Sin iniciar","Parcial"))</f>
        <v/>
      </c>
      <c r="AE88" s="104" t="inlineStr">
        <is>
          <t>Medido sobre el volumen de datos de demostración.</t>
        </is>
      </c>
    </row>
    <row r="89" ht="15" customHeight="1" s="71"/>
    <row r="90" ht="15" customHeight="1" s="71"/>
    <row r="91" ht="15" customHeight="1" s="71"/>
    <row r="92" ht="15" customHeight="1" s="71"/>
    <row r="93" ht="15" customHeight="1" s="71"/>
    <row r="94" ht="15" customHeight="1" s="71"/>
    <row r="95" ht="15" customHeight="1" s="71"/>
    <row r="96" ht="15" customHeight="1" s="71"/>
    <row r="97" ht="15" customHeight="1" s="71"/>
    <row r="98" ht="15" customHeight="1" s="71"/>
    <row r="99" ht="15" customHeight="1" s="71"/>
    <row r="100" ht="15" customHeight="1" s="71"/>
    <row r="101" ht="15" customHeight="1" s="71"/>
    <row r="102" ht="15" customHeight="1" s="71"/>
    <row r="103" ht="15" customHeight="1" s="71"/>
  </sheetData>
  <mergeCells count="1">
    <mergeCell ref="A1:AE2"/>
  </mergeCells>
  <conditionalFormatting sqref="AD4:AD103">
    <cfRule type="expression" rank="0" priority="2" equalAverage="0" aboveAverage="0" dxfId="12" text="" percent="0" bottom="0">
      <formula>AD4="Completa"</formula>
    </cfRule>
    <cfRule type="expression" rank="0" priority="3" equalAverage="0" aboveAverage="0" dxfId="13" text="" percent="0" bottom="0">
      <formula>AD4="Parcial"</formula>
    </cfRule>
    <cfRule type="expression" rank="0" priority="4" equalAverage="0" aboveAverage="0" dxfId="14" text="" percent="0" bottom="0">
      <formula>AD4="Sin iniciar"</formula>
    </cfRule>
  </conditionalFormatting>
  <conditionalFormatting sqref="E4:E103">
    <cfRule type="expression" rank="0" priority="5" equalAverage="0" aboveAverage="0" dxfId="15" text="" percent="0" bottom="0">
      <formula>E4="Crítica"</formula>
    </cfRule>
    <cfRule type="expression" rank="0" priority="6" equalAverage="0" aboveAverage="0" dxfId="16" text="" percent="0" bottom="0">
      <formula>E4="Alta"</formula>
    </cfRule>
  </conditionalFormatting>
  <dataValidations count="8">
    <dataValidation sqref="D4:D103" showDropDown="0" showInputMessage="0" showErrorMessage="0" allowBlank="0" type="list" errorStyle="stop" operator="between">
      <formula1>"RF,RNF,Regla,Restricción,Dato,Interfaz"</formula1>
      <formula2>0</formula2>
    </dataValidation>
    <dataValidation sqref="E4:E103" showDropDown="0" showInputMessage="0" showErrorMessage="0" allowBlank="0" type="list" errorStyle="stop" operator="between">
      <formula1>"Crítica,Alta,Media,Baja"</formula1>
      <formula2>0</formula2>
    </dataValidation>
    <dataValidation sqref="T4:T103" showDropDown="0" showInputMessage="0" showErrorMessage="0" allowBlank="0" type="list" errorStyle="stop" operator="between">
      <formula1>"Unitaria,Integración,Sistema,End-to-End,Aceptación,Seguridad,Rendimiento,Accesibilidad,Manual"</formula1>
      <formula2>0</formula2>
    </dataValidation>
    <dataValidation sqref="U4:U103" showDropDown="0" showInputMessage="0" showErrorMessage="0" allowBlank="0" type="list" errorStyle="stop" operator="between">
      <formula1>"Pendiente,Aprobado,Fallido,Bloqueado,No aplica"</formula1>
      <formula2>0</formula2>
    </dataValidation>
    <dataValidation sqref="Z4:Z103" showDropDown="0" showInputMessage="0" showErrorMessage="0" allowBlank="0" type="list" errorStyle="stop" operator="between">
      <formula1>"Propuesto,En análisis,Aprobado,Rechazado,Obsoleto"</formula1>
      <formula2>0</formula2>
    </dataValidation>
    <dataValidation sqref="AA4:AA103" showDropDown="0" showInputMessage="0" showErrorMessage="0" allowBlank="0" type="list" errorStyle="stop" operator="between">
      <formula1>"Sin iniciar,En desarrollo,Implementado,Bloqueado,No aplica"</formula1>
      <formula2>0</formula2>
    </dataValidation>
    <dataValidation sqref="AB4:AB103" showDropDown="0" showInputMessage="0" showErrorMessage="0" allowBlank="0" type="list" errorStyle="stop" operator="between">
      <formula1>"Sin iniciar,Pendiente,En ejecución,Aprobado,Fallido,No aplica"</formula1>
      <formula2>0</formula2>
    </dataValidation>
    <dataValidation sqref="AC4:AC103" showDropDown="0" showInputMessage="0" showErrorMessage="0" allowBlank="0" type="list" errorStyle="stop" operator="between">
      <formula1>"Pendiente,Disponible,Incompleta,No aplica"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6" activeCellId="0" sqref="B6"/>
    </sheetView>
  </sheetViews>
  <sheetFormatPr baseColWidth="8" defaultColWidth="8.6796875" defaultRowHeight="15" zeroHeight="0" outlineLevelRow="0"/>
  <cols>
    <col width="44.38" customWidth="1" style="70" min="1" max="1"/>
    <col width="18" customWidth="1" style="70" min="2" max="8"/>
  </cols>
  <sheetData>
    <row r="1" ht="15" customHeight="1" s="71">
      <c r="A1" s="108" t="inlineStr">
        <is>
          <t>RESUMEN DE COBERTURA Y CONTROL — SIGTM</t>
        </is>
      </c>
    </row>
    <row r="2" ht="15" customHeight="1" s="71"/>
    <row r="3" ht="15" customHeight="1" s="71">
      <c r="A3" s="78" t="n"/>
      <c r="B3" s="78" t="n"/>
      <c r="C3" s="78" t="n"/>
      <c r="D3" s="78" t="n"/>
      <c r="E3" s="78" t="n"/>
      <c r="F3" s="78" t="n"/>
      <c r="G3" s="78" t="n"/>
      <c r="H3" s="78" t="n"/>
    </row>
    <row r="4" ht="15" customHeight="1" s="71">
      <c r="A4" s="109" t="inlineStr">
        <is>
          <t>Indicador</t>
        </is>
      </c>
      <c r="B4" s="109" t="inlineStr">
        <is>
          <t>Resultado</t>
        </is>
      </c>
      <c r="C4" s="78" t="n"/>
      <c r="D4" s="110" t="inlineStr">
        <is>
          <t>Estado</t>
        </is>
      </c>
      <c r="E4" s="110" t="inlineStr">
        <is>
          <t>Cantidad</t>
        </is>
      </c>
      <c r="F4" s="110" t="inlineStr">
        <is>
          <t>%</t>
        </is>
      </c>
      <c r="G4" s="78" t="n"/>
      <c r="H4" s="78" t="n"/>
    </row>
    <row r="5" ht="15" customHeight="1" s="71">
      <c r="A5" s="111" t="inlineStr">
        <is>
          <t>Total de registros</t>
        </is>
      </c>
      <c r="B5" s="78">
        <f>COUNTIF(Matriz_Trazabilidad!J4:J88,"&lt;&gt;")</f>
        <v/>
      </c>
      <c r="C5" s="78" t="n"/>
      <c r="D5" s="112" t="inlineStr">
        <is>
          <t>Completa</t>
        </is>
      </c>
      <c r="E5" s="113">
        <f>B6</f>
        <v/>
      </c>
      <c r="F5" s="114">
        <f>IF($E$8=0,0,E5/$E$8)</f>
        <v/>
      </c>
      <c r="G5" s="78" t="n"/>
      <c r="H5" s="78" t="n"/>
    </row>
    <row r="6" ht="15" customHeight="1" s="71">
      <c r="A6" s="111" t="inlineStr">
        <is>
          <t>Cobertura completa</t>
        </is>
      </c>
      <c r="B6" s="78">
        <f>COUNTIF(Matriz_Trazabilidad!AD4:AD88,"Completa")</f>
        <v/>
      </c>
      <c r="C6" s="78" t="n"/>
      <c r="D6" s="77" t="inlineStr">
        <is>
          <t>Parcial</t>
        </is>
      </c>
      <c r="E6" s="78">
        <f>B7</f>
        <v/>
      </c>
      <c r="F6" s="115">
        <f>IF($E$8=0,0,E6/$E$8)</f>
        <v/>
      </c>
      <c r="G6" s="78" t="n"/>
      <c r="H6" s="78" t="n"/>
    </row>
    <row r="7" ht="15" customHeight="1" s="71">
      <c r="A7" s="111" t="inlineStr">
        <is>
          <t>Cobertura parcial</t>
        </is>
      </c>
      <c r="B7" s="78">
        <f>COUNTIF(Matriz_Trazabilidad!AD4:AD88,"Parcial")</f>
        <v/>
      </c>
      <c r="C7" s="78" t="n"/>
      <c r="D7" s="77" t="inlineStr">
        <is>
          <t>Sin iniciar</t>
        </is>
      </c>
      <c r="E7" s="78">
        <f>B8</f>
        <v/>
      </c>
      <c r="F7" s="115">
        <f>IF($E$8=0,0,E7/$E$8)</f>
        <v/>
      </c>
      <c r="G7" s="78" t="n"/>
      <c r="H7" s="78" t="n"/>
    </row>
    <row r="8" ht="15" customHeight="1" s="71">
      <c r="A8" s="111" t="inlineStr">
        <is>
          <t>Sin iniciar</t>
        </is>
      </c>
      <c r="B8" s="78">
        <f>COUNTIF(Matriz_Trazabilidad!AD4:AD88,"Sin iniciar")</f>
        <v/>
      </c>
      <c r="C8" s="78" t="n"/>
      <c r="D8" s="77" t="inlineStr">
        <is>
          <t>Total</t>
        </is>
      </c>
      <c r="E8" s="78">
        <f>SUM(E5:E7)</f>
        <v/>
      </c>
      <c r="F8" s="79" t="n"/>
      <c r="G8" s="78" t="n"/>
      <c r="H8" s="78" t="n"/>
    </row>
    <row r="9" ht="15" customHeight="1" s="71">
      <c r="A9" s="111" t="inlineStr">
        <is>
          <t>Porcentaje de cobertura completa</t>
        </is>
      </c>
      <c r="B9" s="116">
        <f>IF(B5=0,0,B6/B5)</f>
        <v/>
      </c>
      <c r="C9" s="78" t="n"/>
      <c r="D9" s="117" t="inlineStr">
        <is>
          <t>Meta mínima</t>
        </is>
      </c>
      <c r="E9" s="96" t="n"/>
      <c r="F9" s="97" t="inlineStr">
        <is>
          <t>80%</t>
        </is>
      </c>
      <c r="G9" s="78" t="n"/>
      <c r="H9" s="78" t="n"/>
    </row>
    <row r="10" ht="15" customHeight="1" s="71">
      <c r="A10" s="78" t="n"/>
      <c r="B10" s="78" t="n"/>
      <c r="C10" s="78" t="n"/>
      <c r="D10" s="78" t="n"/>
      <c r="E10" s="78" t="n"/>
      <c r="F10" s="78" t="n"/>
      <c r="G10" s="78" t="n"/>
      <c r="H10" s="78" t="n"/>
    </row>
    <row r="11" ht="15" customHeight="1" s="71">
      <c r="A11" s="78" t="n"/>
      <c r="B11" s="78" t="n"/>
      <c r="C11" s="78" t="n"/>
      <c r="D11" s="78" t="n"/>
      <c r="E11" s="78" t="n"/>
      <c r="F11" s="78" t="n"/>
      <c r="G11" s="78" t="n"/>
      <c r="H11" s="78" t="n"/>
    </row>
    <row r="12" ht="15" customHeight="1" s="71">
      <c r="A12" s="118" t="inlineStr">
        <is>
          <t>Interpretación del resultado</t>
        </is>
      </c>
    </row>
    <row r="13" ht="15" customHeight="1" s="71">
      <c r="A13" s="119" t="inlineStr">
        <is>
          <t>La cobertura completa significa que el requisito se encuentra implementado, cuenta con una prueba aprobada y dispone de evidencia verificable. La cobertura parcial indica que uno o más de estos elementos están pendientes. La matriz no reemplaza la revisión técnica: una fila marcada como completa debe poder comprobarse directamente en el repositorio, el sistema desplegado o el acta de aceptación.</t>
        </is>
      </c>
    </row>
    <row r="14" ht="15" customHeight="1" s="71"/>
    <row r="15" ht="15" customHeight="1" s="71"/>
    <row r="16" ht="15" customHeight="1" s="71"/>
    <row r="17" ht="15" customHeight="1" s="71">
      <c r="A17" s="78" t="n"/>
      <c r="B17" s="78" t="n"/>
      <c r="C17" s="78" t="n"/>
      <c r="D17" s="78" t="n"/>
      <c r="E17" s="78" t="n"/>
      <c r="F17" s="78" t="n"/>
      <c r="G17" s="78" t="n"/>
      <c r="H17" s="78" t="n"/>
    </row>
    <row r="18" ht="15" customHeight="1" s="71">
      <c r="A18" s="78" t="n"/>
      <c r="B18" s="78" t="n"/>
      <c r="C18" s="78" t="n"/>
      <c r="D18" s="78" t="n"/>
      <c r="E18" s="78" t="n"/>
      <c r="F18" s="78" t="n"/>
      <c r="G18" s="78" t="n"/>
      <c r="H18" s="78" t="n"/>
    </row>
    <row r="19" ht="15" customHeight="1" s="71">
      <c r="A19" s="78" t="n"/>
      <c r="B19" s="78" t="n"/>
      <c r="C19" s="78" t="n"/>
      <c r="D19" s="78" t="n"/>
      <c r="E19" s="78" t="n"/>
      <c r="F19" s="78" t="n"/>
      <c r="G19" s="78" t="n"/>
      <c r="H19" s="78" t="n"/>
    </row>
    <row r="20" ht="15" customHeight="1" s="71">
      <c r="A20" s="78" t="n"/>
      <c r="B20" s="78" t="n"/>
      <c r="C20" s="78" t="n"/>
      <c r="D20" s="78" t="n"/>
      <c r="E20" s="78" t="n"/>
      <c r="F20" s="78" t="n"/>
      <c r="G20" s="78" t="n"/>
      <c r="H20" s="78" t="n"/>
    </row>
    <row r="21" ht="15" customHeight="1" s="71">
      <c r="A21" s="78" t="n"/>
      <c r="B21" s="78" t="n"/>
      <c r="C21" s="78" t="n"/>
      <c r="D21" s="78" t="n"/>
      <c r="E21" s="78" t="n"/>
      <c r="F21" s="78" t="n"/>
      <c r="G21" s="78" t="n"/>
      <c r="H21" s="78" t="n"/>
    </row>
    <row r="22" ht="15" customHeight="1" s="71">
      <c r="A22" s="78" t="n"/>
      <c r="B22" s="78" t="n"/>
      <c r="C22" s="78" t="n"/>
      <c r="D22" s="78" t="n"/>
      <c r="E22" s="78" t="n"/>
      <c r="F22" s="78" t="n"/>
      <c r="G22" s="78" t="n"/>
      <c r="H22" s="78" t="n"/>
    </row>
    <row r="23" ht="15" customHeight="1" s="71">
      <c r="A23" s="78" t="n"/>
      <c r="B23" s="78" t="n"/>
      <c r="C23" s="78" t="n"/>
      <c r="D23" s="78" t="n"/>
      <c r="E23" s="78" t="n"/>
      <c r="F23" s="78" t="n"/>
      <c r="G23" s="78" t="n"/>
      <c r="H23" s="78" t="n"/>
    </row>
    <row r="24" ht="15" customHeight="1" s="71">
      <c r="A24" s="78" t="n"/>
      <c r="B24" s="78" t="n"/>
      <c r="C24" s="78" t="n"/>
      <c r="D24" s="78" t="n"/>
      <c r="E24" s="78" t="n"/>
      <c r="F24" s="78" t="n"/>
      <c r="G24" s="78" t="n"/>
      <c r="H24" s="78" t="n"/>
    </row>
    <row r="25" ht="15" customHeight="1" s="71">
      <c r="A25" s="78" t="n"/>
      <c r="B25" s="78" t="n"/>
      <c r="C25" s="78" t="n"/>
      <c r="D25" s="78" t="n"/>
      <c r="E25" s="78" t="n"/>
      <c r="F25" s="78" t="n"/>
      <c r="G25" s="78" t="n"/>
      <c r="H25" s="78" t="n"/>
    </row>
    <row r="26" ht="15" customHeight="1" s="71">
      <c r="A26" s="78" t="n"/>
      <c r="B26" s="78" t="n"/>
      <c r="C26" s="78" t="n"/>
      <c r="D26" s="78" t="n"/>
      <c r="E26" s="78" t="n"/>
      <c r="F26" s="78" t="n"/>
      <c r="G26" s="78" t="n"/>
      <c r="H26" s="78" t="n"/>
    </row>
    <row r="27" ht="15" customHeight="1" s="71">
      <c r="A27" s="78" t="n"/>
      <c r="B27" s="78" t="n"/>
      <c r="C27" s="78" t="n"/>
      <c r="D27" s="78" t="n"/>
      <c r="E27" s="78" t="n"/>
      <c r="F27" s="78" t="n"/>
      <c r="G27" s="78" t="n"/>
      <c r="H27" s="78" t="n"/>
    </row>
    <row r="28" ht="15" customHeight="1" s="71">
      <c r="A28" s="78" t="n"/>
      <c r="B28" s="78" t="n"/>
      <c r="C28" s="78" t="n"/>
      <c r="D28" s="78" t="n"/>
      <c r="E28" s="78" t="n"/>
      <c r="F28" s="78" t="n"/>
      <c r="G28" s="78" t="n"/>
      <c r="H28" s="78" t="n"/>
    </row>
    <row r="29" ht="15" customHeight="1" s="71">
      <c r="A29" s="78" t="n"/>
      <c r="B29" s="78" t="n"/>
      <c r="C29" s="78" t="n"/>
      <c r="D29" s="78" t="n"/>
      <c r="E29" s="78" t="n"/>
      <c r="F29" s="78" t="n"/>
      <c r="G29" s="78" t="n"/>
      <c r="H29" s="78" t="n"/>
    </row>
    <row r="30" ht="15" customHeight="1" s="71">
      <c r="A30" s="78" t="n"/>
      <c r="B30" s="78" t="n"/>
      <c r="C30" s="78" t="n"/>
      <c r="D30" s="78" t="n"/>
      <c r="E30" s="78" t="n"/>
      <c r="F30" s="78" t="n"/>
      <c r="G30" s="78" t="n"/>
      <c r="H30" s="78" t="n"/>
    </row>
    <row r="31" ht="15" customHeight="1" s="71">
      <c r="A31" s="78" t="n"/>
      <c r="B31" s="78" t="n"/>
      <c r="C31" s="78" t="n"/>
      <c r="D31" s="78" t="n"/>
      <c r="E31" s="78" t="n"/>
      <c r="F31" s="78" t="n"/>
      <c r="G31" s="78" t="n"/>
      <c r="H31" s="78" t="n"/>
    </row>
    <row r="32" ht="15" customHeight="1" s="71">
      <c r="A32" s="78" t="n"/>
      <c r="B32" s="78" t="n"/>
      <c r="C32" s="78" t="n"/>
      <c r="D32" s="78" t="n"/>
      <c r="E32" s="78" t="n"/>
      <c r="F32" s="78" t="n"/>
      <c r="G32" s="78" t="n"/>
      <c r="H32" s="78" t="n"/>
    </row>
    <row r="33" ht="15" customHeight="1" s="71">
      <c r="A33" s="78" t="n"/>
      <c r="B33" s="78" t="n"/>
      <c r="C33" s="78" t="n"/>
      <c r="D33" s="78" t="n"/>
      <c r="E33" s="78" t="n"/>
      <c r="F33" s="78" t="n"/>
      <c r="G33" s="78" t="n"/>
      <c r="H33" s="78" t="n"/>
    </row>
    <row r="34" ht="15" customHeight="1" s="71">
      <c r="A34" s="78" t="n"/>
      <c r="B34" s="78" t="n"/>
      <c r="C34" s="78" t="n"/>
      <c r="D34" s="78" t="n"/>
      <c r="E34" s="78" t="n"/>
      <c r="F34" s="78" t="n"/>
      <c r="G34" s="78" t="n"/>
      <c r="H34" s="78" t="n"/>
    </row>
    <row r="35" ht="15" customHeight="1" s="71">
      <c r="A35" s="78" t="n"/>
      <c r="B35" s="78" t="n"/>
      <c r="C35" s="78" t="n"/>
      <c r="D35" s="78" t="n"/>
      <c r="E35" s="78" t="n"/>
      <c r="F35" s="78" t="n"/>
      <c r="G35" s="78" t="n"/>
      <c r="H35" s="78" t="n"/>
    </row>
    <row r="36" ht="15" customHeight="1" s="71">
      <c r="A36" s="78" t="n"/>
      <c r="B36" s="78" t="n"/>
      <c r="C36" s="78" t="n"/>
      <c r="D36" s="78" t="n"/>
      <c r="E36" s="78" t="n"/>
      <c r="F36" s="78" t="n"/>
      <c r="G36" s="78" t="n"/>
      <c r="H36" s="78" t="n"/>
    </row>
  </sheetData>
  <mergeCells count="3">
    <mergeCell ref="A12:H12"/>
    <mergeCell ref="A1:H2"/>
    <mergeCell ref="A13:H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8.6796875" defaultRowHeight="15" zeroHeight="0" outlineLevelRow="0"/>
  <cols>
    <col width="20" customWidth="1" style="70" min="1" max="8"/>
  </cols>
  <sheetData>
    <row r="1" ht="28.35" customHeight="1" s="71">
      <c r="A1" s="120" t="inlineStr">
        <is>
          <t>Tipo de requisito</t>
        </is>
      </c>
      <c r="B1" s="121" t="inlineStr">
        <is>
          <t>Prioridad</t>
        </is>
      </c>
      <c r="C1" s="121" t="inlineStr">
        <is>
          <t>Tipo de prueba</t>
        </is>
      </c>
      <c r="D1" s="121" t="inlineStr">
        <is>
          <t>Resultado de prueba</t>
        </is>
      </c>
      <c r="E1" s="121" t="inlineStr">
        <is>
          <t>Estado requisito</t>
        </is>
      </c>
      <c r="F1" s="121" t="inlineStr">
        <is>
          <t>Estado implementación</t>
        </is>
      </c>
      <c r="G1" s="121" t="inlineStr">
        <is>
          <t>Estado prueba</t>
        </is>
      </c>
      <c r="H1" s="122" t="inlineStr">
        <is>
          <t>Estado evidencia</t>
        </is>
      </c>
    </row>
    <row r="2" ht="15" customHeight="1" s="71">
      <c r="A2" s="123" t="inlineStr">
        <is>
          <t>RF</t>
        </is>
      </c>
      <c r="B2" s="124" t="inlineStr">
        <is>
          <t>Crítica</t>
        </is>
      </c>
      <c r="C2" s="124" t="inlineStr">
        <is>
          <t>Unitaria</t>
        </is>
      </c>
      <c r="D2" s="124" t="inlineStr">
        <is>
          <t>Pendiente</t>
        </is>
      </c>
      <c r="E2" s="124" t="inlineStr">
        <is>
          <t>Propuesto</t>
        </is>
      </c>
      <c r="F2" s="124" t="inlineStr">
        <is>
          <t>Sin iniciar</t>
        </is>
      </c>
      <c r="G2" s="124" t="inlineStr">
        <is>
          <t>Sin iniciar</t>
        </is>
      </c>
      <c r="H2" s="125" t="inlineStr">
        <is>
          <t>Pendiente</t>
        </is>
      </c>
    </row>
    <row r="3" ht="15" customHeight="1" s="71">
      <c r="A3" s="123" t="inlineStr">
        <is>
          <t>RNF</t>
        </is>
      </c>
      <c r="B3" s="124" t="inlineStr">
        <is>
          <t>Alta</t>
        </is>
      </c>
      <c r="C3" s="124" t="inlineStr">
        <is>
          <t>Integración</t>
        </is>
      </c>
      <c r="D3" s="124" t="inlineStr">
        <is>
          <t>Aprobado</t>
        </is>
      </c>
      <c r="E3" s="124" t="inlineStr">
        <is>
          <t>En análisis</t>
        </is>
      </c>
      <c r="F3" s="124" t="inlineStr">
        <is>
          <t>En desarrollo</t>
        </is>
      </c>
      <c r="G3" s="124" t="inlineStr">
        <is>
          <t>Pendiente</t>
        </is>
      </c>
      <c r="H3" s="125" t="inlineStr">
        <is>
          <t>Disponible</t>
        </is>
      </c>
    </row>
    <row r="4" ht="15" customHeight="1" s="71">
      <c r="A4" s="123" t="inlineStr">
        <is>
          <t>Regla</t>
        </is>
      </c>
      <c r="B4" s="124" t="inlineStr">
        <is>
          <t>Media</t>
        </is>
      </c>
      <c r="C4" s="124" t="inlineStr">
        <is>
          <t>Sistema</t>
        </is>
      </c>
      <c r="D4" s="124" t="inlineStr">
        <is>
          <t>Fallido</t>
        </is>
      </c>
      <c r="E4" s="124" t="inlineStr">
        <is>
          <t>Aprobado</t>
        </is>
      </c>
      <c r="F4" s="124" t="inlineStr">
        <is>
          <t>Implementado</t>
        </is>
      </c>
      <c r="G4" s="124" t="inlineStr">
        <is>
          <t>En ejecución</t>
        </is>
      </c>
      <c r="H4" s="125" t="inlineStr">
        <is>
          <t>Incompleta</t>
        </is>
      </c>
    </row>
    <row r="5" ht="15" customHeight="1" s="71">
      <c r="A5" s="123" t="inlineStr">
        <is>
          <t>Restricción</t>
        </is>
      </c>
      <c r="B5" s="124" t="inlineStr">
        <is>
          <t>Baja</t>
        </is>
      </c>
      <c r="C5" s="124" t="inlineStr">
        <is>
          <t>End-to-End</t>
        </is>
      </c>
      <c r="D5" s="124" t="inlineStr">
        <is>
          <t>Bloqueado</t>
        </is>
      </c>
      <c r="E5" s="124" t="inlineStr">
        <is>
          <t>Rechazado</t>
        </is>
      </c>
      <c r="F5" s="124" t="inlineStr">
        <is>
          <t>Bloqueado</t>
        </is>
      </c>
      <c r="G5" s="124" t="inlineStr">
        <is>
          <t>Aprobado</t>
        </is>
      </c>
      <c r="H5" s="125" t="inlineStr">
        <is>
          <t>No aplica</t>
        </is>
      </c>
    </row>
    <row r="6" ht="15" customHeight="1" s="71">
      <c r="A6" s="123" t="inlineStr">
        <is>
          <t>Dato</t>
        </is>
      </c>
      <c r="B6" s="126" t="n"/>
      <c r="C6" s="124" t="inlineStr">
        <is>
          <t>Aceptación</t>
        </is>
      </c>
      <c r="D6" s="124" t="inlineStr">
        <is>
          <t>No aplica</t>
        </is>
      </c>
      <c r="E6" s="124" t="inlineStr">
        <is>
          <t>Obsoleto</t>
        </is>
      </c>
      <c r="F6" s="124" t="inlineStr">
        <is>
          <t>No aplica</t>
        </is>
      </c>
      <c r="G6" s="124" t="inlineStr">
        <is>
          <t>Fallido</t>
        </is>
      </c>
      <c r="H6" s="127" t="n"/>
    </row>
    <row r="7" ht="15" customHeight="1" s="71">
      <c r="A7" s="123" t="inlineStr">
        <is>
          <t>Interfaz</t>
        </is>
      </c>
      <c r="B7" s="126" t="n"/>
      <c r="C7" s="124" t="inlineStr">
        <is>
          <t>Seguridad</t>
        </is>
      </c>
      <c r="D7" s="126" t="n"/>
      <c r="E7" s="126" t="n"/>
      <c r="F7" s="126" t="n"/>
      <c r="G7" s="124" t="inlineStr">
        <is>
          <t>No aplica</t>
        </is>
      </c>
      <c r="H7" s="127" t="n"/>
    </row>
    <row r="8" ht="15" customHeight="1" s="71">
      <c r="A8" s="128" t="n"/>
      <c r="B8" s="126" t="n"/>
      <c r="C8" s="124" t="inlineStr">
        <is>
          <t>Rendimiento</t>
        </is>
      </c>
      <c r="D8" s="126" t="n"/>
      <c r="E8" s="126" t="n"/>
      <c r="F8" s="126" t="n"/>
      <c r="G8" s="126" t="n"/>
      <c r="H8" s="127" t="n"/>
    </row>
    <row r="9" ht="15" customHeight="1" s="71">
      <c r="A9" s="128" t="n"/>
      <c r="B9" s="126" t="n"/>
      <c r="C9" s="124" t="inlineStr">
        <is>
          <t>Accesibilidad</t>
        </is>
      </c>
      <c r="D9" s="126" t="n"/>
      <c r="E9" s="126" t="n"/>
      <c r="F9" s="126" t="n"/>
      <c r="G9" s="126" t="n"/>
      <c r="H9" s="127" t="n"/>
    </row>
    <row r="10" ht="15" customHeight="1" s="71">
      <c r="A10" s="128" t="n"/>
      <c r="B10" s="126" t="n"/>
      <c r="C10" s="124" t="inlineStr">
        <is>
          <t>Manual</t>
        </is>
      </c>
      <c r="D10" s="126" t="n"/>
      <c r="E10" s="126" t="n"/>
      <c r="F10" s="126" t="n"/>
      <c r="G10" s="126" t="n"/>
      <c r="H10" s="127" t="n"/>
    </row>
    <row r="11" ht="15" customHeight="1" s="71">
      <c r="A11" s="128" t="n"/>
      <c r="B11" s="126" t="n"/>
      <c r="C11" s="126" t="n"/>
      <c r="D11" s="126" t="n"/>
      <c r="E11" s="126" t="n"/>
      <c r="F11" s="126" t="n"/>
      <c r="G11" s="126" t="n"/>
      <c r="H11" s="127" t="n"/>
    </row>
    <row r="12" ht="15" customHeight="1" s="71">
      <c r="A12" s="129" t="n"/>
      <c r="B12" s="130" t="n"/>
      <c r="C12" s="130" t="n"/>
      <c r="D12" s="130" t="n"/>
      <c r="E12" s="130" t="n"/>
      <c r="F12" s="130" t="n"/>
      <c r="G12" s="130" t="n"/>
      <c r="H12" s="13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F20" activeCellId="0" sqref="F20"/>
    </sheetView>
  </sheetViews>
  <sheetFormatPr baseColWidth="8" defaultColWidth="8.6796875" defaultRowHeight="15" zeroHeight="0" outlineLevelRow="0"/>
  <cols>
    <col width="10" customWidth="1" style="70" min="1" max="1"/>
    <col width="14" customWidth="1" style="70" min="2" max="2"/>
    <col width="18" customWidth="1" style="70" min="3" max="3"/>
    <col width="35" customWidth="1" style="70" min="4" max="4"/>
    <col width="25" customWidth="1" style="70" min="5" max="5"/>
    <col width="20" customWidth="1" style="70" min="6" max="7"/>
    <col width="14" customWidth="1" style="70" min="8" max="8"/>
  </cols>
  <sheetData>
    <row r="1" ht="15" customHeight="1" s="71">
      <c r="A1" s="132" t="inlineStr">
        <is>
          <t>CONTROL DE CAMBIOS DE LA MATRIZ — SIGTM</t>
        </is>
      </c>
    </row>
    <row r="2" ht="15" customHeight="1" s="71"/>
    <row r="3">
      <c r="A3" s="70" t="inlineStr">
        <is>
          <t>1.0</t>
        </is>
      </c>
      <c r="B3" s="70" t="inlineStr">
        <is>
          <t>26/08/2026</t>
        </is>
      </c>
      <c r="C3" s="70" t="inlineStr">
        <is>
          <t>Creacion</t>
        </is>
      </c>
      <c r="D3" s="70" t="inlineStr">
        <is>
          <t>Version inicial con los requisitos del nucleo.</t>
        </is>
      </c>
      <c r="E3" s="70" t="inlineStr">
        <is>
          <t>Alto</t>
        </is>
      </c>
      <c r="F3" s="70" t="inlineStr">
        <is>
          <t>Harryson [apellidos por completar]</t>
        </is>
      </c>
      <c r="G3" s="70" t="inlineStr">
        <is>
          <t>J. C. Quintero</t>
        </is>
      </c>
      <c r="H3" s="70" t="inlineStr">
        <is>
          <t>Aprobado</t>
        </is>
      </c>
    </row>
    <row r="4" ht="15" customHeight="1" s="71">
      <c r="A4" s="70" t="inlineStr">
        <is>
          <t>1.1</t>
        </is>
      </c>
      <c r="B4" s="70" t="inlineStr">
        <is>
          <t>02/09/2026</t>
        </is>
      </c>
      <c r="C4" s="70" t="inlineStr">
        <is>
          <t>Actualizacion</t>
        </is>
      </c>
      <c r="D4" s="70" t="inlineStr">
        <is>
          <t>CR-001: se traza el modulo de gestion de usuarios.</t>
        </is>
      </c>
      <c r="E4" s="70" t="inlineStr">
        <is>
          <t>Medio</t>
        </is>
      </c>
      <c r="F4" s="70" t="inlineStr">
        <is>
          <t>Harryson [apellidos por completar]</t>
        </is>
      </c>
      <c r="G4" s="70" t="inlineStr">
        <is>
          <t>J. C. Quintero</t>
        </is>
      </c>
      <c r="H4" s="70" t="inlineStr">
        <is>
          <t>Aprobado</t>
        </is>
      </c>
    </row>
    <row r="5" ht="15" customHeight="1" s="71">
      <c r="A5" s="70" t="inlineStr">
        <is>
          <t>1.2</t>
        </is>
      </c>
      <c r="B5" s="70" t="inlineStr">
        <is>
          <t>05/09/2026</t>
        </is>
      </c>
      <c r="C5" s="70" t="inlineStr">
        <is>
          <t>Correccion</t>
        </is>
      </c>
      <c r="D5" s="70" t="inlineStr">
        <is>
          <t>CR-002: se trazan los requisitos no funcionales de seguridad surgidos de la revision.</t>
        </is>
      </c>
      <c r="E5" s="70" t="inlineStr">
        <is>
          <t>Alto</t>
        </is>
      </c>
      <c r="F5" s="70" t="inlineStr">
        <is>
          <t>Harryson [apellidos por completar]</t>
        </is>
      </c>
      <c r="G5" s="70" t="inlineStr">
        <is>
          <t>J. C. Quintero</t>
        </is>
      </c>
      <c r="H5" s="70" t="inlineStr">
        <is>
          <t>Aprobado</t>
        </is>
      </c>
    </row>
    <row r="6" ht="15" customHeight="1" s="71">
      <c r="A6" s="70" t="inlineStr">
        <is>
          <t>1.3</t>
        </is>
      </c>
      <c r="B6" s="70" t="inlineStr">
        <is>
          <t>18/09/2026</t>
        </is>
      </c>
      <c r="C6" s="70" t="inlineStr">
        <is>
          <t>Actualizacion</t>
        </is>
      </c>
      <c r="D6" s="70" t="inlineStr">
        <is>
          <t>CR-003: se trazan la auditoria de estados y la linea de tiempo.</t>
        </is>
      </c>
      <c r="E6" s="70" t="inlineStr">
        <is>
          <t>Alto</t>
        </is>
      </c>
      <c r="F6" s="70" t="inlineStr">
        <is>
          <t>Harryson [apellidos por completar]</t>
        </is>
      </c>
      <c r="G6" s="70" t="inlineStr">
        <is>
          <t>J. C. Quintero</t>
        </is>
      </c>
      <c r="H6" s="70" t="inlineStr">
        <is>
          <t>Aprobado</t>
        </is>
      </c>
    </row>
    <row r="7" ht="15" customHeight="1" s="71">
      <c r="A7" s="70" t="inlineStr">
        <is>
          <t>1.4</t>
        </is>
      </c>
      <c r="B7" s="70" t="inlineStr">
        <is>
          <t>10/09/2026</t>
        </is>
      </c>
      <c r="C7" s="70" t="inlineStr">
        <is>
          <t>Actualizacion</t>
        </is>
      </c>
      <c r="D7" s="70" t="inlineStr">
        <is>
          <t>CR-004: se trazan recuperacion de contrasena y verificacion de correo.</t>
        </is>
      </c>
      <c r="E7" s="70" t="inlineStr">
        <is>
          <t>Alto</t>
        </is>
      </c>
      <c r="F7" s="70" t="inlineStr">
        <is>
          <t>Harryson [apellidos por completar]</t>
        </is>
      </c>
      <c r="G7" s="70" t="inlineStr">
        <is>
          <t>J. C. Quintero</t>
        </is>
      </c>
      <c r="H7" s="70" t="inlineStr">
        <is>
          <t>Aprobado</t>
        </is>
      </c>
    </row>
    <row r="8" ht="15" customHeight="1" s="71">
      <c r="A8" s="70" t="inlineStr">
        <is>
          <t>1.5</t>
        </is>
      </c>
      <c r="B8" s="70" t="inlineStr">
        <is>
          <t>11/09/2026</t>
        </is>
      </c>
      <c r="C8" s="70" t="inlineStr">
        <is>
          <t>Verificacion</t>
        </is>
      </c>
      <c r="D8" s="70" t="inlineStr">
        <is>
          <t>Verificacion completa contra el codigo: 67 requisitos funcionales y 18 no funcionales, sin huecos en la serie.</t>
        </is>
      </c>
      <c r="E8" s="70" t="inlineStr">
        <is>
          <t>Alto</t>
        </is>
      </c>
      <c r="F8" s="70" t="inlineStr">
        <is>
          <t>Harryson [apellidos por completar]</t>
        </is>
      </c>
      <c r="G8" s="70" t="inlineStr">
        <is>
          <t>J. C. Quintero</t>
        </is>
      </c>
      <c r="H8" s="70" t="inlineStr">
        <is>
          <t>Pendiente</t>
        </is>
      </c>
    </row>
    <row r="9" ht="15" customHeight="1" s="71">
      <c r="A9" s="136" t="n"/>
      <c r="B9" s="137" t="n"/>
      <c r="C9" s="137" t="n"/>
      <c r="D9" s="137" t="n"/>
      <c r="E9" s="137" t="n"/>
      <c r="F9" s="137" t="n"/>
      <c r="G9" s="137" t="n"/>
      <c r="H9" s="138" t="n"/>
    </row>
    <row r="10" ht="15" customHeight="1" s="71">
      <c r="A10" s="136" t="n"/>
      <c r="B10" s="137" t="n"/>
      <c r="C10" s="137" t="n"/>
      <c r="D10" s="137" t="n"/>
      <c r="E10" s="137" t="n"/>
      <c r="F10" s="137" t="n"/>
      <c r="G10" s="137" t="n"/>
      <c r="H10" s="138" t="n"/>
    </row>
    <row r="11" ht="15" customHeight="1" s="71">
      <c r="A11" s="136" t="n"/>
      <c r="B11" s="137" t="n"/>
      <c r="C11" s="137" t="n"/>
      <c r="D11" s="137" t="n"/>
      <c r="E11" s="137" t="n"/>
      <c r="F11" s="137" t="n"/>
      <c r="G11" s="137" t="n"/>
      <c r="H11" s="138" t="n"/>
    </row>
    <row r="12" ht="15" customHeight="1" s="71">
      <c r="A12" s="136" t="n"/>
      <c r="B12" s="137" t="n"/>
      <c r="C12" s="137" t="n"/>
      <c r="D12" s="137" t="n"/>
      <c r="E12" s="137" t="n"/>
      <c r="F12" s="137" t="n"/>
      <c r="G12" s="137" t="n"/>
      <c r="H12" s="138" t="n"/>
    </row>
    <row r="13" ht="15" customHeight="1" s="71">
      <c r="A13" s="136" t="n"/>
      <c r="B13" s="137" t="n"/>
      <c r="C13" s="137" t="n"/>
      <c r="D13" s="137" t="n"/>
      <c r="E13" s="137" t="n"/>
      <c r="F13" s="137" t="n"/>
      <c r="G13" s="137" t="n"/>
      <c r="H13" s="138" t="n"/>
    </row>
    <row r="14" ht="15" customHeight="1" s="71">
      <c r="A14" s="136" t="n"/>
      <c r="B14" s="137" t="n"/>
      <c r="C14" s="137" t="n"/>
      <c r="D14" s="137" t="n"/>
      <c r="E14" s="137" t="n"/>
      <c r="F14" s="137" t="n"/>
      <c r="G14" s="137" t="n"/>
      <c r="H14" s="138" t="n"/>
    </row>
    <row r="15" ht="15" customHeight="1" s="71">
      <c r="A15" s="136" t="n"/>
      <c r="B15" s="137" t="n"/>
      <c r="C15" s="137" t="n"/>
      <c r="D15" s="137" t="n"/>
      <c r="E15" s="137" t="n"/>
      <c r="F15" s="137" t="n"/>
      <c r="G15" s="137" t="n"/>
      <c r="H15" s="138" t="n"/>
    </row>
    <row r="16" ht="15" customHeight="1" s="71">
      <c r="A16" s="136" t="n"/>
      <c r="B16" s="137" t="n"/>
      <c r="C16" s="137" t="n"/>
      <c r="D16" s="137" t="n"/>
      <c r="E16" s="137" t="n"/>
      <c r="F16" s="137" t="n"/>
      <c r="G16" s="137" t="n"/>
      <c r="H16" s="138" t="n"/>
    </row>
    <row r="17" ht="15" customHeight="1" s="71">
      <c r="A17" s="136" t="n"/>
      <c r="B17" s="137" t="n"/>
      <c r="C17" s="137" t="n"/>
      <c r="D17" s="137" t="n"/>
      <c r="E17" s="137" t="n"/>
      <c r="F17" s="137" t="n"/>
      <c r="G17" s="137" t="n"/>
      <c r="H17" s="138" t="n"/>
    </row>
    <row r="18" ht="15" customHeight="1" s="71">
      <c r="A18" s="136" t="n"/>
      <c r="B18" s="137" t="n"/>
      <c r="C18" s="137" t="n"/>
      <c r="D18" s="137" t="n"/>
      <c r="E18" s="137" t="n"/>
      <c r="F18" s="137" t="n"/>
      <c r="G18" s="137" t="n"/>
      <c r="H18" s="138" t="n"/>
    </row>
    <row r="19" ht="15" customHeight="1" s="71">
      <c r="A19" s="136" t="n"/>
      <c r="B19" s="137" t="n"/>
      <c r="C19" s="137" t="n"/>
      <c r="D19" s="137" t="n"/>
      <c r="E19" s="137" t="n"/>
      <c r="F19" s="137" t="n"/>
      <c r="G19" s="137" t="n"/>
      <c r="H19" s="138" t="n"/>
    </row>
    <row r="20" ht="15" customHeight="1" s="71">
      <c r="A20" s="136" t="n"/>
      <c r="B20" s="137" t="n"/>
      <c r="C20" s="137" t="n"/>
      <c r="D20" s="137" t="n"/>
      <c r="E20" s="137" t="n"/>
      <c r="F20" s="137" t="n"/>
      <c r="G20" s="137" t="n"/>
      <c r="H20" s="138" t="n"/>
    </row>
    <row r="21" ht="15" customHeight="1" s="71">
      <c r="A21" s="136" t="n"/>
      <c r="B21" s="137" t="n"/>
      <c r="C21" s="137" t="n"/>
      <c r="D21" s="137" t="n"/>
      <c r="E21" s="137" t="n"/>
      <c r="F21" s="137" t="n"/>
      <c r="G21" s="137" t="n"/>
      <c r="H21" s="138" t="n"/>
    </row>
    <row r="22" ht="15" customHeight="1" s="71">
      <c r="A22" s="136" t="n"/>
      <c r="B22" s="137" t="n"/>
      <c r="C22" s="137" t="n"/>
      <c r="D22" s="137" t="n"/>
      <c r="E22" s="137" t="n"/>
      <c r="F22" s="137" t="n"/>
      <c r="G22" s="137" t="n"/>
      <c r="H22" s="138" t="n"/>
    </row>
    <row r="23" ht="15" customHeight="1" s="71">
      <c r="A23" s="136" t="n"/>
      <c r="B23" s="137" t="n"/>
      <c r="C23" s="137" t="n"/>
      <c r="D23" s="137" t="n"/>
      <c r="E23" s="137" t="n"/>
      <c r="F23" s="137" t="n"/>
      <c r="G23" s="137" t="n"/>
      <c r="H23" s="138" t="n"/>
    </row>
    <row r="24" ht="15" customHeight="1" s="71">
      <c r="A24" s="139" t="n"/>
      <c r="B24" s="140" t="n"/>
      <c r="C24" s="140" t="n"/>
      <c r="D24" s="140" t="n"/>
      <c r="E24" s="140" t="n"/>
      <c r="F24" s="140" t="n"/>
      <c r="G24" s="140" t="n"/>
      <c r="H24" s="141" t="n"/>
    </row>
  </sheetData>
  <mergeCells count="1">
    <mergeCell ref="A1:H2"/>
  </mergeCells>
  <dataValidations count="2">
    <dataValidation sqref="H5:H24" showDropDown="0" showInputMessage="0" showErrorMessage="0" allowBlank="0" type="list" errorStyle="stop" operator="between">
      <formula1>"Propuesto,Aprobado,Aplicado,Rechazado"</formula1>
      <formula2>0</formula2>
    </dataValidation>
    <dataValidation sqref="C5:C24" showDropDown="0" showInputMessage="0" showErrorMessage="0" allowBlank="0" type="list" errorStyle="stop" operator="between">
      <formula1>"Corrección,Adición,Eliminación,Cambio de alcance,Ajuste técnico"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2026-08-13T01:47:16Z</dcterms:created>
  <dcterms:modified xmlns:dcterms="http://purl.org/dc/terms/" xmlns:xsi="http://www.w3.org/2001/XMLSchema-instance" xsi:type="dcterms:W3CDTF">2026-09-12T14:29:06Z</dcterms:modified>
  <cp:revision>2</cp:revision>
</cp:coreProperties>
</file>