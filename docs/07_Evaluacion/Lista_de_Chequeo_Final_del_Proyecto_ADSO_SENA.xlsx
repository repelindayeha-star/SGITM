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hequeo_Documental" sheetId="2" state="visible" r:id="rId2"/>
    <sheet xmlns:r="http://schemas.openxmlformats.org/officeDocument/2006/relationships" name="Chequeo_Producto" sheetId="3" state="visible" r:id="rId3"/>
    <sheet xmlns:r="http://schemas.openxmlformats.org/officeDocument/2006/relationships" name="Chequeo_Tecnico" sheetId="4" state="visible" r:id="rId4"/>
    <sheet xmlns:r="http://schemas.openxmlformats.org/officeDocument/2006/relationships" name="Chequeo_Sustentacion" sheetId="5" state="visible" r:id="rId5"/>
    <sheet xmlns:r="http://schemas.openxmlformats.org/officeDocument/2006/relationships" name="Nivel_de_Madurez" sheetId="6" state="visible" r:id="rId6"/>
    <sheet xmlns:r="http://schemas.openxmlformats.org/officeDocument/2006/relationships" name="Resum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"/>
      <b val="1"/>
      <color rgb="FFFFFFFF"/>
      <sz val="14"/>
    </font>
    <font>
      <name val="Aptos"/>
      <b val="1"/>
      <color rgb="FF0A5647"/>
      <sz val="11"/>
    </font>
    <font>
      <name val="Aptos"/>
      <sz val="9"/>
    </font>
    <font>
      <name val="Aptos"/>
      <b val="1"/>
      <color rgb="FFFFFFFF"/>
      <sz val="9"/>
    </font>
    <font>
      <name val="Aptos"/>
      <i val="1"/>
      <color rgb="FF374151"/>
      <sz val="9"/>
    </font>
    <font>
      <name val="Aptos"/>
      <b val="1"/>
      <sz val="9"/>
    </font>
    <font>
      <name val="Aptos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245900"/>
      </patternFill>
    </fill>
    <fill>
      <patternFill patternType="solid">
        <fgColor rgb="FF39A900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9" fontId="6" fillId="0" borderId="1" applyAlignment="1" pivotButton="0" quotePrefix="0" xfId="0">
      <alignment horizontal="center" vertical="center"/>
    </xf>
    <xf numFmtId="9" fontId="6" fillId="4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9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Aptos"/>
        <b val="1"/>
        <color rgb="FF166534"/>
        <sz val="9"/>
      </font>
      <fill>
        <patternFill patternType="solid">
          <bgColor rgb="FFDCFCE7"/>
        </patternFill>
      </fill>
    </dxf>
    <dxf>
      <font>
        <name val="Aptos"/>
        <b val="1"/>
        <color rgb="FF991B1B"/>
        <sz val="9"/>
      </font>
      <fill>
        <patternFill patternType="solid">
          <bgColor rgb="FFFEE2E2"/>
        </patternFill>
      </fill>
    </dxf>
    <dxf>
      <font>
        <name val="Aptos"/>
        <b val="1"/>
        <color rgb="FF92400E"/>
        <sz val="9"/>
      </font>
      <fill>
        <patternFill patternType="solid">
          <bgColor rgb="FF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16" customWidth="1" min="3" max="3"/>
    <col width="16" customWidth="1" min="4" max="4"/>
    <col width="22" customWidth="1" min="5" max="5"/>
    <col width="22" customWidth="1" min="6" max="6"/>
  </cols>
  <sheetData>
    <row r="1" ht="46" customHeight="1">
      <c r="A1" s="1" t="inlineStr">
        <is>
          <t>LISTA DE CHEQUEO FINAL DEL PROYECTO — SIGTM</t>
        </is>
      </c>
    </row>
    <row r="2" ht="10" customHeight="1"/>
    <row r="4">
      <c r="A4" s="2" t="inlineStr">
        <is>
          <t>Que es este instrumento</t>
        </is>
      </c>
    </row>
    <row r="5" ht="32" customHeight="1">
      <c r="A5" s="3" t="inlineStr">
        <is>
          <t>Es la verificación que el equipo se hace a sí mismo antes de entregar. No sirve para demostrar que todo está bien: sirve para saber qué falta mientras todavía hay tiempo de arreglarlo.</t>
        </is>
      </c>
    </row>
    <row r="7">
      <c r="A7" s="2" t="inlineStr">
        <is>
          <t>Como se diligencia</t>
        </is>
      </c>
    </row>
    <row r="8" ht="40" customHeight="1">
      <c r="A8" s="3" t="inlineStr">
        <is>
          <t>Cada criterio se marca con Si, No, Parcial o N.A. Las celdas de la columna 'Cumple' tienen lista desplegable y se colorean solas. Un criterio marcado No o Parcial obliga a escribir la accion y el responsable: sin eso la fila no esta diligenciada. La hoja Resumen cuenta automaticamente y no hay que tocarla.</t>
        </is>
      </c>
    </row>
    <row r="10">
      <c r="A10" s="2" t="inlineStr">
        <is>
          <t>Regla que hace util la lista</t>
        </is>
      </c>
    </row>
    <row r="11" ht="32" customHeight="1">
      <c r="A11" s="3" t="inlineStr">
        <is>
          <t>Un criterio solo se marca como cumplido cuando alguien lo comprobó sobre la aplicación en marcha y puede decir cómo. Marcarlo porque «debería funcionar» convierte la lista en un trámite y deja los problemas para el día de la sustentación.</t>
        </is>
      </c>
    </row>
    <row r="13">
      <c r="A13" s="2" t="inlineStr">
        <is>
          <t>Hojas del instrumento</t>
        </is>
      </c>
    </row>
    <row r="14">
      <c r="A14" s="4" t="inlineStr">
        <is>
          <t>Hoja</t>
        </is>
      </c>
      <c r="B14" s="4" t="inlineStr">
        <is>
          <t>Que verifica</t>
        </is>
      </c>
      <c r="C14" s="4" t="inlineStr">
        <is>
          <t>Criterios</t>
        </is>
      </c>
      <c r="D14" s="4" t="inlineStr">
        <is>
          <t>Responsable</t>
        </is>
      </c>
    </row>
    <row r="15">
      <c r="A15" s="5" t="inlineStr">
        <is>
          <t>Chequeo_Documental</t>
        </is>
      </c>
      <c r="B15" s="5" t="inlineStr">
        <is>
          <t>Los 10 criterios de cierre que exige el marco documental del programa (GOB-01, seccion 12).</t>
        </is>
      </c>
      <c r="C15" s="5" t="inlineStr">
        <is>
          <t>10</t>
        </is>
      </c>
      <c r="D15" s="5" t="inlineStr">
        <is>
          <t>Harryson [apellidos por completar]</t>
        </is>
      </c>
    </row>
    <row r="16">
      <c r="A16" s="6" t="inlineStr">
        <is>
          <t>Chequeo_Producto</t>
        </is>
      </c>
      <c r="B16" s="6" t="inlineStr">
        <is>
          <t>Que cada modulo funcione de punta a punta, con la aplicacion en marcha.</t>
        </is>
      </c>
      <c r="C16" s="6" t="inlineStr">
        <is>
          <t>34</t>
        </is>
      </c>
      <c r="D16" s="6" t="inlineStr">
        <is>
          <t>Harryson, Jessica y Dayana</t>
        </is>
      </c>
    </row>
    <row r="17">
      <c r="A17" s="5" t="inlineStr">
        <is>
          <t>Chequeo_Tecnico</t>
        </is>
      </c>
      <c r="B17" s="5" t="inlineStr">
        <is>
          <t>Codigo, pruebas, integracion continua, seguridad, datos y despliegue.</t>
        </is>
      </c>
      <c r="C17" s="5" t="inlineStr">
        <is>
          <t>30</t>
        </is>
      </c>
      <c r="D17" s="5" t="inlineStr">
        <is>
          <t>Harryson [apellidos por completar]</t>
        </is>
      </c>
    </row>
    <row r="18">
      <c r="A18" s="6" t="inlineStr">
        <is>
          <t>Chequeo_Sustentacion</t>
        </is>
      </c>
      <c r="B18" s="6" t="inlineStr">
        <is>
          <t>Que el equipo pueda demostrar y explicar lo entregado.</t>
        </is>
      </c>
      <c r="C18" s="6" t="inlineStr">
        <is>
          <t>16</t>
        </is>
      </c>
      <c r="D18" s="6" t="inlineStr">
        <is>
          <t>Harryson, Jessica y Dayana</t>
        </is>
      </c>
    </row>
    <row r="19">
      <c r="A19" s="5" t="inlineStr">
        <is>
          <t>Nivel_de_Madurez</t>
        </is>
      </c>
      <c r="B19" s="5" t="inlineStr">
        <is>
          <t>Autoevaluacion contra la escala de 0 a 4 del marco documental.</t>
        </is>
      </c>
      <c r="C19" s="5" t="inlineStr">
        <is>
          <t>5</t>
        </is>
      </c>
      <c r="D19" s="5" t="inlineStr">
        <is>
          <t>Harryson [apellidos por completar]</t>
        </is>
      </c>
    </row>
    <row r="20">
      <c r="A20" s="6" t="inlineStr">
        <is>
          <t>Resumen</t>
        </is>
      </c>
      <c r="B20" s="6" t="inlineStr">
        <is>
          <t>Conteo automatico y decision de entrega. No se edita.</t>
        </is>
      </c>
      <c r="C20" s="6" t="inlineStr">
        <is>
          <t>-</t>
        </is>
      </c>
      <c r="D20" s="6" t="inlineStr">
        <is>
          <t>Automatico</t>
        </is>
      </c>
    </row>
    <row r="23">
      <c r="A23" s="2" t="inlineStr">
        <is>
          <t>Fechas</t>
        </is>
      </c>
    </row>
    <row r="24" ht="32" customHeight="1">
      <c r="A24" s="3" t="inlineStr">
        <is>
          <t>Congelamiento de codigo: 18 de septiembre de 2026.   Entrega y sustentacion: 20 de septiembre de 2026.   Esta lista se diligencia completa al menos cinco dias antes del congelamiento, para que quede margen de correccion.</t>
        </is>
      </c>
    </row>
    <row r="26">
      <c r="A26" s="3" t="inlineStr">
        <is>
          <t>Version 1.1  |  13 de septiembre de 2026  |  Elaboro: Harryson [apellidos por completar]  |  Reviso: Jessica [apellidos por completar]  |  Instructor: Juan Carlos Quintero Romero</t>
        </is>
      </c>
    </row>
  </sheetData>
  <mergeCells count="6">
    <mergeCell ref="A24:F24"/>
    <mergeCell ref="A11:F11"/>
    <mergeCell ref="A5:F5"/>
    <mergeCell ref="A1:F2"/>
    <mergeCell ref="A8:F8"/>
    <mergeCell ref="A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1" customWidth="1" min="3" max="3"/>
    <col width="46" customWidth="1" min="4" max="4"/>
    <col width="40" customWidth="1" min="5" max="5"/>
    <col width="16" customWidth="1" min="6" max="6"/>
  </cols>
  <sheetData>
    <row r="1" ht="34" customHeight="1">
      <c r="A1" s="1" t="inlineStr">
        <is>
          <t>CRITERIOS DE CIERRE DEL PROYECTO — SIGTM</t>
        </is>
      </c>
    </row>
    <row r="2" ht="10" customHeight="1"/>
    <row r="3" ht="30" customHeight="1">
      <c r="A3" s="4" t="inlineStr">
        <is>
          <t>N.</t>
        </is>
      </c>
      <c r="B3" s="4" t="inlineStr">
        <is>
          <t>Criterio</t>
        </is>
      </c>
      <c r="C3" s="4" t="inlineStr">
        <is>
          <t>Cumple</t>
        </is>
      </c>
      <c r="D3" s="4" t="inlineStr">
        <is>
          <t>Evidencia que lo respalda</t>
        </is>
      </c>
      <c r="E3" s="4" t="inlineStr">
        <is>
          <t>Accion si no cumple</t>
        </is>
      </c>
      <c r="F3" s="4" t="inlineStr">
        <is>
          <t>Responsable</t>
        </is>
      </c>
    </row>
    <row r="4">
      <c r="A4" s="5" t="n">
        <v>1</v>
      </c>
      <c r="B4" s="5" t="inlineStr">
        <is>
          <t>Cada información tiene una sola fuente de verdad.</t>
        </is>
      </c>
      <c r="C4" s="5" t="inlineStr">
        <is>
          <t>Si</t>
        </is>
      </c>
      <c r="D4" s="5" t="inlineStr">
        <is>
          <t>Los quince entregables salen de un mismo catálogo de requisitos y reglas.</t>
        </is>
      </c>
      <c r="E4" s="5" t="inlineStr">
        <is>
          <t>—</t>
        </is>
      </c>
      <c r="F4" s="5" t="inlineStr">
        <is>
          <t>Harryson</t>
        </is>
      </c>
    </row>
    <row r="5">
      <c r="A5" s="5" t="n">
        <v>2</v>
      </c>
      <c r="B5" s="5" t="inlineStr">
        <is>
          <t>Los documentos comparten códigos, versiones y convenciones.</t>
        </is>
      </c>
      <c r="C5" s="5" t="inlineStr">
        <is>
          <t>Si</t>
        </is>
      </c>
      <c r="D5" s="5" t="inlineStr">
        <is>
          <t>Los quince usan la misma numeración ADSO y la versión 1.5.</t>
        </is>
      </c>
      <c r="E5" s="5" t="inlineStr">
        <is>
          <t>—</t>
        </is>
      </c>
      <c r="F5" s="5" t="inlineStr">
        <is>
          <t>Harryson</t>
        </is>
      </c>
    </row>
    <row r="6">
      <c r="A6" s="5" t="n">
        <v>3</v>
      </c>
      <c r="B6" s="5" t="inlineStr">
        <is>
          <t>Existe trazabilidad desde el problema hasta la evidencia.</t>
        </is>
      </c>
      <c r="C6" s="5" t="inlineStr">
        <is>
          <t>Si</t>
        </is>
      </c>
      <c r="D6" s="5" t="inlineStr">
        <is>
          <t>La matriz traza 67 requisitos funcionales y 18 no funcionales.</t>
        </is>
      </c>
      <c r="E6" s="5" t="inlineStr">
        <is>
          <t>—</t>
        </is>
      </c>
      <c r="F6" s="5" t="inlineStr">
        <is>
          <t>Harryson</t>
        </is>
      </c>
    </row>
    <row r="7">
      <c r="A7" s="5" t="n">
        <v>4</v>
      </c>
      <c r="B7" s="5" t="inlineStr">
        <is>
          <t>Los requisitos de calidad tienen métrica y método de verificación.</t>
        </is>
      </c>
      <c r="C7" s="5" t="inlineStr">
        <is>
          <t>Si</t>
        </is>
      </c>
      <c r="D7" s="5" t="inlineStr">
        <is>
          <t>Los 18 requisitos no funcionales del documento de alcance los declaran.</t>
        </is>
      </c>
      <c r="E7" s="5" t="inlineStr">
        <is>
          <t>—</t>
        </is>
      </c>
      <c r="F7" s="5" t="inlineStr">
        <is>
          <t>Harryson</t>
        </is>
      </c>
    </row>
    <row r="8">
      <c r="A8" s="5" t="n">
        <v>5</v>
      </c>
      <c r="B8" s="5" t="inlineStr">
        <is>
          <t>Las reglas de negocio están centralizadas en un solo documento.</t>
        </is>
      </c>
      <c r="C8" s="5" t="inlineStr">
        <is>
          <t>Si</t>
        </is>
      </c>
      <c r="D8" s="5" t="inlineStr">
        <is>
          <t>Las 30 reglas están en el alcance y los demás documentos las citan por código.</t>
        </is>
      </c>
      <c r="E8" s="5" t="inlineStr">
        <is>
          <t>—</t>
        </is>
      </c>
      <c r="F8" s="5" t="inlineStr">
        <is>
          <t>Harryson</t>
        </is>
      </c>
    </row>
    <row r="9">
      <c r="A9" s="5" t="n">
        <v>6</v>
      </c>
      <c r="B9" s="5" t="inlineStr">
        <is>
          <t>Los artefactos técnicos están documentados.</t>
        </is>
      </c>
      <c r="C9" s="5" t="inlineStr">
        <is>
          <t>Parcial</t>
        </is>
      </c>
      <c r="D9" s="5" t="inlineStr">
        <is>
          <t>Diez decisiones arquitectónicas registradas; faltan exportar los diagramas.</t>
        </is>
      </c>
      <c r="E9" s="5" t="inlineStr">
        <is>
          <t>Exportar los cinco diagramas a /docs/arquitectura</t>
        </is>
      </c>
      <c r="F9" s="5" t="inlineStr">
        <is>
          <t>Harryson, 16/09/2026</t>
        </is>
      </c>
    </row>
    <row r="10">
      <c r="A10" s="5" t="n">
        <v>7</v>
      </c>
      <c r="B10" s="5" t="inlineStr">
        <is>
          <t>La documentación coincide con lo que hay en el repositorio.</t>
        </is>
      </c>
      <c r="C10" s="5" t="inlineStr">
        <is>
          <t>Parcial</t>
        </is>
      </c>
      <c r="D10" s="5" t="inlineStr">
        <is>
          <t>El código verificado coincide; falta resolver el permiso de escritura para subirlo todo.</t>
        </is>
      </c>
      <c r="E10" s="5" t="inlineStr">
        <is>
          <t>Resolver el permiso de colaborador</t>
        </is>
      </c>
      <c r="F10" s="5" t="inlineStr">
        <is>
          <t>Harryson, 13/09/2026</t>
        </is>
      </c>
    </row>
    <row r="11">
      <c r="A11" s="5" t="n">
        <v>8</v>
      </c>
      <c r="B11" s="5" t="inlineStr">
        <is>
          <t>Los elementos condicionales están justificados.</t>
        </is>
      </c>
      <c r="C11" s="5" t="inlineStr">
        <is>
          <t>Si</t>
        </is>
      </c>
      <c r="D11" s="5" t="inlineStr">
        <is>
          <t>Las siete exclusiones del alcance están declaradas con su motivo.</t>
        </is>
      </c>
      <c r="E11" s="5" t="inlineStr">
        <is>
          <t>—</t>
        </is>
      </c>
      <c r="F11" s="5" t="inlineStr">
        <is>
          <t>Harryson</t>
        </is>
      </c>
    </row>
    <row r="12">
      <c r="A12" s="5" t="n">
        <v>9</v>
      </c>
      <c r="B12" s="5" t="inlineStr">
        <is>
          <t>La documentación declara lo que no cumple.</t>
        </is>
      </c>
      <c r="C12" s="5" t="inlineStr">
        <is>
          <t>Si</t>
        </is>
      </c>
      <c r="D12" s="5" t="inlineStr">
        <is>
          <t>Cobertura de pruebas en cero, hallazgo de accesibilidad y prueba de usabilidad sin ejecutar.</t>
        </is>
      </c>
      <c r="E12" s="5" t="inlineStr">
        <is>
          <t>—</t>
        </is>
      </c>
      <c r="F12" s="5" t="inlineStr">
        <is>
          <t>Harryson</t>
        </is>
      </c>
    </row>
    <row r="13">
      <c r="A13" s="5" t="n">
        <v>10</v>
      </c>
      <c r="B13" s="5" t="inlineStr">
        <is>
          <t>El equipo puede explicar cualquier parte del proyecto.</t>
        </is>
      </c>
      <c r="C13" s="5" t="inlineStr">
        <is>
          <t>Parcial</t>
        </is>
      </c>
      <c r="D13" s="5" t="inlineStr">
        <is>
          <t>Harryson domina servidor y datos; Jessica y Dayana, la interfaz.</t>
        </is>
      </c>
      <c r="E13" s="5" t="inlineStr">
        <is>
          <t>Ensayo cruzado antes de la sustentación</t>
        </is>
      </c>
      <c r="F13" s="5" t="inlineStr">
        <is>
          <t>Equipo, 17/09/2026</t>
        </is>
      </c>
    </row>
    <row r="14">
      <c r="A14" s="5" t="n">
        <v>11</v>
      </c>
      <c r="B14" s="5" t="inlineStr">
        <is>
          <t>Las capturas del manual de usuario están tomadas.</t>
        </is>
      </c>
      <c r="C14" s="5" t="inlineStr">
        <is>
          <t>No</t>
        </is>
      </c>
      <c r="D14" s="5" t="inlineStr">
        <is>
          <t>El manual está escrito con instrucciones de qué capturar en cada punto.</t>
        </is>
      </c>
      <c r="E14" s="5" t="inlineStr">
        <is>
          <t>Tomar las trece capturas</t>
        </is>
      </c>
      <c r="F14" s="5" t="inlineStr">
        <is>
          <t>Dayana, 16/09/2026</t>
        </is>
      </c>
    </row>
    <row r="15" ht="46" customHeight="1">
      <c r="A15" s="7" t="inlineStr">
        <is>
          <t>Estado al 11/09/2026: 7 criterios cumplen, 2 estan parciales y 1 no cumple. El unico que no cumple (N.7) depende de una sola accion: incorporar las tres ramas pendientes. Es la tarea de mayor prioridad del proyecto porque bloquea la correspondencia entre lo documentado y lo entregado, que es un criterio de cierre.</t>
        </is>
      </c>
    </row>
  </sheetData>
  <mergeCells count="2">
    <mergeCell ref="A15:F15"/>
    <mergeCell ref="A1:F2"/>
  </mergeCells>
  <conditionalFormatting sqref="C4:C13">
    <cfRule type="cellIs" priority="1" operator="equal" dxfId="0">
      <formula>"Si"</formula>
    </cfRule>
    <cfRule type="cellIs" priority="2" operator="equal" dxfId="1">
      <formula>"No"</formula>
    </cfRule>
    <cfRule type="cellIs" priority="3" operator="equal" dxfId="2">
      <formula>"Parcial"</formula>
    </cfRule>
  </conditionalFormatting>
  <dataValidations count="1">
    <dataValidation sqref="C4:C13" showDropDown="0" showInputMessage="0" showErrorMessage="0" allowBlank="1" type="list">
      <formula1>"Si,No,Parcial,N.A."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46" customWidth="1" min="3" max="3"/>
    <col width="11" customWidth="1" min="4" max="4"/>
    <col width="10" customWidth="1" min="5" max="5"/>
    <col width="46" customWidth="1" min="6" max="6"/>
    <col width="32" customWidth="1" min="7" max="7"/>
    <col width="12" customWidth="1" min="8" max="8"/>
  </cols>
  <sheetData>
    <row r="1" ht="34" customHeight="1">
      <c r="A1" s="1" t="inlineStr">
        <is>
          <t>VERIFICACIÓN FUNCIONAL — SIGTM</t>
        </is>
      </c>
    </row>
    <row r="2" ht="10" customHeight="1"/>
    <row r="3" ht="30" customHeight="1">
      <c r="A3" s="4" t="inlineStr">
        <is>
          <t>N.</t>
        </is>
      </c>
      <c r="B3" s="4" t="inlineStr">
        <is>
          <t>Modulo</t>
        </is>
      </c>
      <c r="C3" s="4" t="inlineStr">
        <is>
          <t>Que se verifica</t>
        </is>
      </c>
      <c r="D3" s="4" t="inlineStr">
        <is>
          <t>RF</t>
        </is>
      </c>
      <c r="E3" s="4" t="inlineStr">
        <is>
          <t>Cumple</t>
        </is>
      </c>
      <c r="F3" s="4" t="inlineStr">
        <is>
          <t>Como se comprueba</t>
        </is>
      </c>
      <c r="G3" s="4" t="inlineStr">
        <is>
          <t>Observacion</t>
        </is>
      </c>
      <c r="H3" s="4" t="inlineStr">
        <is>
          <t>Responsable</t>
        </is>
      </c>
    </row>
    <row r="4">
      <c r="A4" s="5" t="n">
        <v>1</v>
      </c>
      <c r="B4" s="5" t="inlineStr">
        <is>
          <t>Identidad</t>
        </is>
      </c>
      <c r="C4" s="5" t="inlineStr">
        <is>
          <t>Una persona puede crear su cuenta como cliente.</t>
        </is>
      </c>
      <c r="D4" s="5" t="inlineStr">
        <is>
          <t>RF-001</t>
        </is>
      </c>
      <c r="E4" s="5" t="inlineStr">
        <is>
          <t>Si</t>
        </is>
      </c>
      <c r="F4" s="5" t="inlineStr">
        <is>
          <t>Registro desde UI-001.</t>
        </is>
      </c>
      <c r="G4" s="5" t="inlineStr"/>
      <c r="H4" s="5" t="inlineStr">
        <is>
          <t>Jessica</t>
        </is>
      </c>
    </row>
    <row r="5">
      <c r="A5" s="5" t="n">
        <v>2</v>
      </c>
      <c r="B5" s="5" t="inlineStr">
        <is>
          <t>Identidad</t>
        </is>
      </c>
      <c r="C5" s="5" t="inlineStr">
        <is>
          <t>El registro no permite crear cuentas con rol elevado.</t>
        </is>
      </c>
      <c r="D5" s="5" t="inlineStr">
        <is>
          <t>RF-001</t>
        </is>
      </c>
      <c r="E5" s="5" t="inlineStr">
        <is>
          <t>Si</t>
        </is>
      </c>
      <c r="F5" s="5" t="inlineStr">
        <is>
          <t>Petición con rol ADMINISTRADOR: rechazada.</t>
        </is>
      </c>
      <c r="G5" s="5" t="inlineStr">
        <is>
          <t>Cerró el hallazgo SEG-01.</t>
        </is>
      </c>
      <c r="H5" s="5" t="inlineStr">
        <is>
          <t>Harryson</t>
        </is>
      </c>
    </row>
    <row r="6">
      <c r="A6" s="5" t="n">
        <v>3</v>
      </c>
      <c r="B6" s="5" t="inlineStr">
        <is>
          <t>Identidad</t>
        </is>
      </c>
      <c r="C6" s="5" t="inlineStr">
        <is>
          <t>Los cuatro roles inician sesión y llegan a su pantalla.</t>
        </is>
      </c>
      <c r="D6" s="5" t="inlineStr">
        <is>
          <t>RF-002</t>
        </is>
      </c>
      <c r="E6" s="5" t="inlineStr">
        <is>
          <t>Si</t>
        </is>
      </c>
      <c r="F6" s="5" t="inlineStr">
        <is>
          <t>Entrada con las cinco cuentas de la semilla.</t>
        </is>
      </c>
      <c r="G6" s="5" t="inlineStr"/>
      <c r="H6" s="5" t="inlineStr">
        <is>
          <t>Jessica</t>
        </is>
      </c>
    </row>
    <row r="7">
      <c r="A7" s="5" t="n">
        <v>4</v>
      </c>
      <c r="B7" s="5" t="inlineStr">
        <is>
          <t>Identidad</t>
        </is>
      </c>
      <c r="C7" s="5" t="inlineStr">
        <is>
          <t>Una cuenta desactivada no puede entrar.</t>
        </is>
      </c>
      <c r="D7" s="5" t="inlineStr">
        <is>
          <t>RF-002</t>
        </is>
      </c>
      <c r="E7" s="5" t="inlineStr">
        <is>
          <t>Si</t>
        </is>
      </c>
      <c r="F7" s="5" t="inlineStr">
        <is>
          <t>Desactivar y volver a intentar.</t>
        </is>
      </c>
      <c r="G7" s="5" t="inlineStr"/>
      <c r="H7" s="5" t="inlineStr">
        <is>
          <t>Harryson</t>
        </is>
      </c>
    </row>
    <row r="8">
      <c r="A8" s="5" t="n">
        <v>5</v>
      </c>
      <c r="B8" s="5" t="inlineStr">
        <is>
          <t>Identidad</t>
        </is>
      </c>
      <c r="C8" s="5" t="inlineStr">
        <is>
          <t>Se puede recuperar y restablecer la contraseña.</t>
        </is>
      </c>
      <c r="D8" s="5" t="inlineStr">
        <is>
          <t>RF-005, RF-006</t>
        </is>
      </c>
      <c r="E8" s="5" t="inlineStr">
        <is>
          <t>Si</t>
        </is>
      </c>
      <c r="F8" s="5" t="inlineStr">
        <is>
          <t>Recorrido completo: pedir enlace, abrirlo y entrar con la clave nueva.</t>
        </is>
      </c>
      <c r="G8" s="5" t="inlineStr">
        <is>
          <t>Construido el 13/09. Enlace de un solo uso, caduca en 30 min. Verificado con pruebas/integracion/recuperacion.js: 15 comprobaciones.</t>
        </is>
      </c>
      <c r="H8" s="5" t="inlineStr">
        <is>
          <t>Harryson, 13/09/2026</t>
        </is>
      </c>
    </row>
    <row r="9">
      <c r="A9" s="5" t="n">
        <v>6</v>
      </c>
      <c r="B9" s="5" t="inlineStr">
        <is>
          <t>Identidad</t>
        </is>
      </c>
      <c r="C9" s="5" t="inlineStr">
        <is>
          <t>Al cambiar la contraseña se cierran las sesiones abiertas.</t>
        </is>
      </c>
      <c r="D9" s="5" t="inlineStr">
        <is>
          <t>RF-009</t>
        </is>
      </c>
      <c r="E9" s="5" t="inlineStr">
        <is>
          <t>Si</t>
        </is>
      </c>
      <c r="F9" s="5" t="inlineStr">
        <is>
          <t>Usar el token anterior tras restablecer.</t>
        </is>
      </c>
      <c r="G9" s="5" t="inlineStr">
        <is>
          <t>Cerró el hallazgo SEG-04.</t>
        </is>
      </c>
      <c r="H9" s="5" t="inlineStr">
        <is>
          <t>Harryson</t>
        </is>
      </c>
    </row>
    <row r="10">
      <c r="A10" s="5" t="n">
        <v>7</v>
      </c>
      <c r="B10" s="5" t="inlineStr">
        <is>
          <t>Identidad</t>
        </is>
      </c>
      <c r="C10" s="5" t="inlineStr">
        <is>
          <t>La verificación anti-automatización se ejerce.</t>
        </is>
      </c>
      <c r="D10" s="5" t="inlineStr">
        <is>
          <t>RF-003</t>
        </is>
      </c>
      <c r="E10" s="5" t="inlineStr">
        <is>
          <t>Si</t>
        </is>
      </c>
      <c r="F10" s="5" t="inlineStr">
        <is>
          <t>Entrar sin resolver el desafio: el boton queda inactivo.</t>
        </is>
      </c>
      <c r="G10" s="5" t="inlineStr">
        <is>
          <t>Cerro el hallazgo SEG-08. El formulario envia el token real de Google.</t>
        </is>
      </c>
      <c r="H10" s="5" t="inlineStr">
        <is>
          <t>Harryson, 13/09/2026</t>
        </is>
      </c>
    </row>
    <row r="11">
      <c r="A11" s="5" t="n">
        <v>8</v>
      </c>
      <c r="B11" s="5" t="inlineStr">
        <is>
          <t>Usuarios</t>
        </is>
      </c>
      <c r="C11" s="5" t="inlineStr">
        <is>
          <t>El administrador crea cuentas de personal.</t>
        </is>
      </c>
      <c r="D11" s="5" t="inlineStr">
        <is>
          <t>RF-012</t>
        </is>
      </c>
      <c r="E11" s="5" t="inlineStr">
        <is>
          <t>Si</t>
        </is>
      </c>
      <c r="F11" s="5" t="inlineStr">
        <is>
          <t>Alta de un mecánico desde UI-014.</t>
        </is>
      </c>
      <c r="G11" s="5" t="inlineStr"/>
      <c r="H11" s="5" t="inlineStr">
        <is>
          <t>Jessica</t>
        </is>
      </c>
    </row>
    <row r="12">
      <c r="A12" s="5" t="n">
        <v>9</v>
      </c>
      <c r="B12" s="5" t="inlineStr">
        <is>
          <t>Usuarios</t>
        </is>
      </c>
      <c r="C12" s="5" t="inlineStr">
        <is>
          <t>No se puede desactivar el último administrador.</t>
        </is>
      </c>
      <c r="D12" s="5" t="inlineStr">
        <is>
          <t>RF-014</t>
        </is>
      </c>
      <c r="E12" s="5" t="inlineStr">
        <is>
          <t>Si</t>
        </is>
      </c>
      <c r="F12" s="5" t="inlineStr">
        <is>
          <t>Intento dirigido con un solo administrador activo.</t>
        </is>
      </c>
      <c r="G12" s="5" t="inlineStr"/>
      <c r="H12" s="5" t="inlineStr">
        <is>
          <t>Harryson</t>
        </is>
      </c>
    </row>
    <row r="13">
      <c r="A13" s="5" t="n">
        <v>10</v>
      </c>
      <c r="B13" s="5" t="inlineStr">
        <is>
          <t>Usuarios</t>
        </is>
      </c>
      <c r="C13" s="5" t="inlineStr">
        <is>
          <t>Un administrador no puede desactivarse a sí mismo.</t>
        </is>
      </c>
      <c r="D13" s="5" t="inlineStr">
        <is>
          <t>RF-014</t>
        </is>
      </c>
      <c r="E13" s="5" t="inlineStr">
        <is>
          <t>Si</t>
        </is>
      </c>
      <c r="F13" s="5" t="inlineStr">
        <is>
          <t>Intento dirigido.</t>
        </is>
      </c>
      <c r="G13" s="5" t="inlineStr"/>
      <c r="H13" s="5" t="inlineStr">
        <is>
          <t>Harryson</t>
        </is>
      </c>
    </row>
    <row r="14">
      <c r="A14" s="5" t="n">
        <v>11</v>
      </c>
      <c r="B14" s="5" t="inlineStr">
        <is>
          <t>Clientes</t>
        </is>
      </c>
      <c r="C14" s="5" t="inlineStr">
        <is>
          <t>Se registra un cliente y se le crea su cuenta.</t>
        </is>
      </c>
      <c r="D14" s="5" t="inlineStr">
        <is>
          <t>RF-015</t>
        </is>
      </c>
      <c r="E14" s="5" t="inlineStr">
        <is>
          <t>Si</t>
        </is>
      </c>
      <c r="F14" s="5" t="inlineStr">
        <is>
          <t>Alta desde UI-009.</t>
        </is>
      </c>
      <c r="G14" s="5" t="inlineStr"/>
      <c r="H14" s="5" t="inlineStr">
        <is>
          <t>Jessica</t>
        </is>
      </c>
    </row>
    <row r="15">
      <c r="A15" s="5" t="n">
        <v>12</v>
      </c>
      <c r="B15" s="5" t="inlineStr">
        <is>
          <t>Motocicletas</t>
        </is>
      </c>
      <c r="C15" s="5" t="inlineStr">
        <is>
          <t>No se admiten dos motocicletas con la misma placa.</t>
        </is>
      </c>
      <c r="D15" s="5" t="inlineStr">
        <is>
          <t>RF-020</t>
        </is>
      </c>
      <c r="E15" s="5" t="inlineStr">
        <is>
          <t>Si</t>
        </is>
      </c>
      <c r="F15" s="5" t="inlineStr">
        <is>
          <t>Alta con placa repetida: rechazada.</t>
        </is>
      </c>
      <c r="G15" s="5" t="inlineStr"/>
      <c r="H15" s="5" t="inlineStr">
        <is>
          <t>Jessica</t>
        </is>
      </c>
    </row>
    <row r="16">
      <c r="A16" s="5" t="n">
        <v>13</v>
      </c>
      <c r="B16" s="5" t="inlineStr">
        <is>
          <t>Citas</t>
        </is>
      </c>
      <c r="C16" s="5" t="inlineStr">
        <is>
          <t>Se agenda, confirma y completa una cita.</t>
        </is>
      </c>
      <c r="D16" s="5" t="inlineStr">
        <is>
          <t>RF-026, RF-030</t>
        </is>
      </c>
      <c r="E16" s="5" t="inlineStr">
        <is>
          <t>Si</t>
        </is>
      </c>
      <c r="F16" s="5" t="inlineStr">
        <is>
          <t>Recorrido en UI-011.</t>
        </is>
      </c>
      <c r="G16" s="5" t="inlineStr"/>
      <c r="H16" s="5" t="inlineStr">
        <is>
          <t>Jessica</t>
        </is>
      </c>
    </row>
    <row r="17">
      <c r="A17" s="5" t="n">
        <v>14</v>
      </c>
      <c r="B17" s="5" t="inlineStr">
        <is>
          <t>Órdenes</t>
        </is>
      </c>
      <c r="C17" s="5" t="inlineStr">
        <is>
          <t>Al abrir una orden se genera su código público.</t>
        </is>
      </c>
      <c r="D17" s="5" t="inlineStr">
        <is>
          <t>RF-033</t>
        </is>
      </c>
      <c r="E17" s="5" t="inlineStr">
        <is>
          <t>Si</t>
        </is>
      </c>
      <c r="F17" s="5" t="inlineStr">
        <is>
          <t>Alta desde UI-008; código con formato OT-AAAA-XXXXXX.</t>
        </is>
      </c>
      <c r="G17" s="5" t="inlineStr"/>
      <c r="H17" s="5" t="inlineStr">
        <is>
          <t>Jessica</t>
        </is>
      </c>
    </row>
    <row r="18">
      <c r="A18" s="5" t="n">
        <v>15</v>
      </c>
      <c r="B18" s="5" t="inlineStr">
        <is>
          <t>Órdenes</t>
        </is>
      </c>
      <c r="C18" s="5" t="inlineStr">
        <is>
          <t>No se abre una orden con moto de otro cliente.</t>
        </is>
      </c>
      <c r="D18" s="5" t="inlineStr">
        <is>
          <t>RF-033</t>
        </is>
      </c>
      <c r="E18" s="5" t="inlineStr">
        <is>
          <t>Si</t>
        </is>
      </c>
      <c r="F18" s="5" t="inlineStr">
        <is>
          <t>Intento dirigido.</t>
        </is>
      </c>
      <c r="G18" s="5" t="inlineStr"/>
      <c r="H18" s="5" t="inlineStr">
        <is>
          <t>Harryson</t>
        </is>
      </c>
    </row>
    <row r="19">
      <c r="A19" s="5" t="n">
        <v>16</v>
      </c>
      <c r="B19" s="5" t="inlineStr">
        <is>
          <t>Órdenes</t>
        </is>
      </c>
      <c r="C19" s="5" t="inlineStr">
        <is>
          <t>Solo se asigna como mecánico a quien tiene ese rol.</t>
        </is>
      </c>
      <c r="D19" s="5" t="inlineStr">
        <is>
          <t>RF-038</t>
        </is>
      </c>
      <c r="E19" s="5" t="inlineStr">
        <is>
          <t>Si</t>
        </is>
      </c>
      <c r="F19" s="5" t="inlineStr">
        <is>
          <t>Intento con una recepcionista: rechazado.</t>
        </is>
      </c>
      <c r="G19" s="5" t="inlineStr"/>
      <c r="H19" s="5" t="inlineStr">
        <is>
          <t>Harryson</t>
        </is>
      </c>
    </row>
    <row r="20">
      <c r="A20" s="5" t="n">
        <v>17</v>
      </c>
      <c r="B20" s="5" t="inlineStr">
        <is>
          <t>Órdenes</t>
        </is>
      </c>
      <c r="C20" s="5" t="inlineStr">
        <is>
          <t>Una transición inválida se rechaza con mensaje claro.</t>
        </is>
      </c>
      <c r="D20" s="5" t="inlineStr">
        <is>
          <t>RF-039</t>
        </is>
      </c>
      <c r="E20" s="5" t="inlineStr">
        <is>
          <t>Si</t>
        </is>
      </c>
      <c r="F20" s="5" t="inlineStr">
        <is>
          <t>Intento de pasar de RECIBIDA a ENTREGADA.</t>
        </is>
      </c>
      <c r="G20" s="5" t="inlineStr">
        <is>
          <t>El mensaje enumera las válidas.</t>
        </is>
      </c>
      <c r="H20" s="5" t="inlineStr">
        <is>
          <t>Harryson</t>
        </is>
      </c>
    </row>
    <row r="21">
      <c r="A21" s="5" t="n">
        <v>18</v>
      </c>
      <c r="B21" s="5" t="inlineStr">
        <is>
          <t>Órdenes</t>
        </is>
      </c>
      <c r="C21" s="5" t="inlineStr">
        <is>
          <t>Una orden entregada no admite más cambios.</t>
        </is>
      </c>
      <c r="D21" s="5" t="inlineStr">
        <is>
          <t>RF-039</t>
        </is>
      </c>
      <c r="E21" s="5" t="inlineStr">
        <is>
          <t>Si</t>
        </is>
      </c>
      <c r="F21" s="5" t="inlineStr">
        <is>
          <t>Intento dirigido.</t>
        </is>
      </c>
      <c r="G21" s="5" t="inlineStr"/>
      <c r="H21" s="5" t="inlineStr">
        <is>
          <t>Harryson</t>
        </is>
      </c>
    </row>
    <row r="22">
      <c r="A22" s="5" t="n">
        <v>19</v>
      </c>
      <c r="B22" s="5" t="inlineStr">
        <is>
          <t>Auditoría</t>
        </is>
      </c>
      <c r="C22" s="5" t="inlineStr">
        <is>
          <t>Cada cambio de estado deja autor, fecha y estado anterior.</t>
        </is>
      </c>
      <c r="D22" s="5" t="inlineStr">
        <is>
          <t>RF-061</t>
        </is>
      </c>
      <c r="E22" s="5" t="inlineStr">
        <is>
          <t>Si</t>
        </is>
      </c>
      <c r="F22" s="5" t="inlineStr">
        <is>
          <t>Inspección del historial tras avanzar una orden.</t>
        </is>
      </c>
      <c r="G22" s="5" t="inlineStr"/>
      <c r="H22" s="5" t="inlineStr">
        <is>
          <t>Harryson</t>
        </is>
      </c>
    </row>
    <row r="23">
      <c r="A23" s="5" t="n">
        <v>20</v>
      </c>
      <c r="B23" s="5" t="inlineStr">
        <is>
          <t>Auditoría</t>
        </is>
      </c>
      <c r="C23" s="5" t="inlineStr">
        <is>
          <t>No existe cambio de estado sin su asiento.</t>
        </is>
      </c>
      <c r="D23" s="5" t="inlineStr">
        <is>
          <t>RF-061</t>
        </is>
      </c>
      <c r="E23" s="5" t="inlineStr">
        <is>
          <t>Si</t>
        </is>
      </c>
      <c r="F23" s="5" t="inlineStr">
        <is>
          <t>Ambas escrituras en la misma transacción.</t>
        </is>
      </c>
      <c r="G23" s="5" t="inlineStr"/>
      <c r="H23" s="5" t="inlineStr">
        <is>
          <t>Harryson</t>
        </is>
      </c>
    </row>
    <row r="24">
      <c r="A24" s="5" t="n">
        <v>21</v>
      </c>
      <c r="B24" s="5" t="inlineStr">
        <is>
          <t>Diagnóstico</t>
        </is>
      </c>
      <c r="C24" s="5" t="inlineStr">
        <is>
          <t>El mecánico registra diagnóstico y mano de obra.</t>
        </is>
      </c>
      <c r="D24" s="5" t="inlineStr">
        <is>
          <t>RF-045</t>
        </is>
      </c>
      <c r="E24" s="5" t="inlineStr">
        <is>
          <t>Si</t>
        </is>
      </c>
      <c r="F24" s="5" t="inlineStr">
        <is>
          <t>Recorrido con mecanico1@sigtm.com.</t>
        </is>
      </c>
      <c r="G24" s="5" t="inlineStr"/>
      <c r="H24" s="5" t="inlineStr">
        <is>
          <t>Jessica</t>
        </is>
      </c>
    </row>
    <row r="25">
      <c r="A25" s="5" t="n">
        <v>22</v>
      </c>
      <c r="B25" s="5" t="inlineStr">
        <is>
          <t>Diagnóstico</t>
        </is>
      </c>
      <c r="C25" s="5" t="inlineStr">
        <is>
          <t>El total suma mano de obra e ítems por su cantidad.</t>
        </is>
      </c>
      <c r="D25" s="5" t="inlineStr">
        <is>
          <t>RF-050</t>
        </is>
      </c>
      <c r="E25" s="5" t="inlineStr">
        <is>
          <t>Si</t>
        </is>
      </c>
      <c r="F25" s="5" t="inlineStr">
        <is>
          <t>Cotización con valores conocidos.</t>
        </is>
      </c>
      <c r="G25" s="5" t="inlineStr"/>
      <c r="H25" s="5" t="inlineStr">
        <is>
          <t>Harryson</t>
        </is>
      </c>
    </row>
    <row r="26">
      <c r="A26" s="5" t="n">
        <v>23</v>
      </c>
      <c r="B26" s="5" t="inlineStr">
        <is>
          <t>Inventario</t>
        </is>
      </c>
      <c r="C26" s="5" t="inlineStr">
        <is>
          <t>No se admiten dos repuestos con el mismo código.</t>
        </is>
      </c>
      <c r="D26" s="5" t="inlineStr">
        <is>
          <t>RF-051</t>
        </is>
      </c>
      <c r="E26" s="5" t="inlineStr">
        <is>
          <t>Si</t>
        </is>
      </c>
      <c r="F26" s="5" t="inlineStr">
        <is>
          <t>Alta con código repetido: rechazada.</t>
        </is>
      </c>
      <c r="G26" s="5" t="inlineStr"/>
      <c r="H26" s="5" t="inlineStr">
        <is>
          <t>Jessica</t>
        </is>
      </c>
    </row>
    <row r="27">
      <c r="A27" s="5" t="n">
        <v>24</v>
      </c>
      <c r="B27" s="5" t="inlineStr">
        <is>
          <t>Inventario</t>
        </is>
      </c>
      <c r="C27" s="5" t="inlineStr">
        <is>
          <t>Los repuestos bajo mínimo aparecen en el aviso.</t>
        </is>
      </c>
      <c r="D27" s="5" t="inlineStr">
        <is>
          <t>RF-053</t>
        </is>
      </c>
      <c r="E27" s="5" t="inlineStr">
        <is>
          <t>Si</t>
        </is>
      </c>
      <c r="F27" s="5" t="inlineStr">
        <is>
          <t>La semilla deja dos por debajo a propósito.</t>
        </is>
      </c>
      <c r="G27" s="5" t="inlineStr"/>
      <c r="H27" s="5" t="inlineStr">
        <is>
          <t>Jessica</t>
        </is>
      </c>
    </row>
    <row r="28">
      <c r="A28" s="5" t="n">
        <v>25</v>
      </c>
      <c r="B28" s="5" t="inlineStr">
        <is>
          <t>Inventario</t>
        </is>
      </c>
      <c r="C28" s="5" t="inlineStr">
        <is>
          <t>El inventario se descuenta al terminar la reparación.</t>
        </is>
      </c>
      <c r="D28" s="5" t="inlineStr">
        <is>
          <t>RF-056</t>
        </is>
      </c>
      <c r="E28" s="5" t="inlineStr">
        <is>
          <t>No</t>
        </is>
      </c>
      <c r="F28" s="5" t="inlineStr">
        <is>
          <t>Completar una orden y revisar existencias.</t>
        </is>
      </c>
      <c r="G28" s="5" t="inlineStr">
        <is>
          <t>Deuda DT-04: la salida se registra a mano.</t>
        </is>
      </c>
      <c r="H28" s="5" t="inlineStr">
        <is>
          <t>—</t>
        </is>
      </c>
    </row>
    <row r="29">
      <c r="A29" s="5" t="n">
        <v>26</v>
      </c>
      <c r="B29" s="5" t="inlineStr">
        <is>
          <t>Facturación</t>
        </is>
      </c>
      <c r="C29" s="5" t="inlineStr">
        <is>
          <t>Se genera la factura con número único.</t>
        </is>
      </c>
      <c r="D29" s="5" t="inlineStr">
        <is>
          <t>RF-058</t>
        </is>
      </c>
      <c r="E29" s="5" t="inlineStr">
        <is>
          <t>Si</t>
        </is>
      </c>
      <c r="F29" s="5" t="inlineStr">
        <is>
          <t>Emisión desde UI-007.</t>
        </is>
      </c>
      <c r="G29" s="5" t="inlineStr"/>
      <c r="H29" s="5" t="inlineStr">
        <is>
          <t>Jessica</t>
        </is>
      </c>
    </row>
    <row r="30">
      <c r="A30" s="5" t="n">
        <v>27</v>
      </c>
      <c r="B30" s="5" t="inlineStr">
        <is>
          <t>Portal</t>
        </is>
      </c>
      <c r="C30" s="5" t="inlineStr">
        <is>
          <t>El cliente ve sus motos, citas y órdenes.</t>
        </is>
      </c>
      <c r="D30" s="5" t="inlineStr">
        <is>
          <t>RF-036</t>
        </is>
      </c>
      <c r="E30" s="5" t="inlineStr">
        <is>
          <t>Si</t>
        </is>
      </c>
      <c r="F30" s="5" t="inlineStr">
        <is>
          <t>Entrada con cliente@sigtm.com.</t>
        </is>
      </c>
      <c r="G30" s="5" t="inlineStr"/>
      <c r="H30" s="5" t="inlineStr">
        <is>
          <t>Dayana</t>
        </is>
      </c>
    </row>
    <row r="31">
      <c r="A31" s="5" t="n">
        <v>28</v>
      </c>
      <c r="B31" s="5" t="inlineStr">
        <is>
          <t>Portal</t>
        </is>
      </c>
      <c r="C31" s="5" t="inlineStr">
        <is>
          <t>El cliente ve la línea de tiempo de cinco pasos.</t>
        </is>
      </c>
      <c r="D31" s="5" t="inlineStr">
        <is>
          <t>RF-044</t>
        </is>
      </c>
      <c r="E31" s="5" t="inlineStr">
        <is>
          <t>Si</t>
        </is>
      </c>
      <c r="F31" s="5" t="inlineStr">
        <is>
          <t>Portal del cliente con una orden avanzada.</t>
        </is>
      </c>
      <c r="G31" s="5" t="inlineStr"/>
      <c r="H31" s="5" t="inlineStr">
        <is>
          <t>Dayana</t>
        </is>
      </c>
    </row>
    <row r="32">
      <c r="A32" s="5" t="n">
        <v>29</v>
      </c>
      <c r="B32" s="5" t="inlineStr">
        <is>
          <t>Portal</t>
        </is>
      </c>
      <c r="C32" s="5" t="inlineStr">
        <is>
          <t>Un cliente no puede ver datos de otro.</t>
        </is>
      </c>
      <c r="D32" s="5" t="inlineStr">
        <is>
          <t>RF-035</t>
        </is>
      </c>
      <c r="E32" s="5" t="inlineStr">
        <is>
          <t>Si</t>
        </is>
      </c>
      <c r="F32" s="5" t="inlineStr">
        <is>
          <t>Alterar el identificador en la dirección: 403.</t>
        </is>
      </c>
      <c r="G32" s="5" t="inlineStr">
        <is>
          <t>Cerró el hallazgo SEG-02.</t>
        </is>
      </c>
      <c r="H32" s="5" t="inlineStr">
        <is>
          <t>Harryson</t>
        </is>
      </c>
    </row>
    <row r="33">
      <c r="A33" s="5" t="n">
        <v>30</v>
      </c>
      <c r="B33" s="5" t="inlineStr">
        <is>
          <t>Seguimiento</t>
        </is>
      </c>
      <c r="C33" s="5" t="inlineStr">
        <is>
          <t>La consulta por código funciona sin sesión.</t>
        </is>
      </c>
      <c r="D33" s="5" t="inlineStr">
        <is>
          <t>RF-042</t>
        </is>
      </c>
      <c r="E33" s="5" t="inlineStr">
        <is>
          <t>Si</t>
        </is>
      </c>
      <c r="F33" s="5" t="inlineStr">
        <is>
          <t>Ventana de incógnito con un código válido.</t>
        </is>
      </c>
      <c r="G33" s="5" t="inlineStr"/>
      <c r="H33" s="5" t="inlineStr">
        <is>
          <t>Dayana</t>
        </is>
      </c>
    </row>
    <row r="34">
      <c r="A34" s="5" t="n">
        <v>31</v>
      </c>
      <c r="B34" s="5" t="inlineStr">
        <is>
          <t>Seguimiento</t>
        </is>
      </c>
      <c r="C34" s="5" t="inlineStr">
        <is>
          <t>La consulta pública no expone datos personales ni precios.</t>
        </is>
      </c>
      <c r="D34" s="5" t="inlineStr">
        <is>
          <t>RF-043</t>
        </is>
      </c>
      <c r="E34" s="5" t="inlineStr">
        <is>
          <t>Si</t>
        </is>
      </c>
      <c r="F34" s="5" t="inlineStr">
        <is>
          <t>Inspección del cuerpo de la respuesta.</t>
        </is>
      </c>
      <c r="G34" s="5" t="inlineStr">
        <is>
          <t>Cerró el hallazgo SEG-03.</t>
        </is>
      </c>
      <c r="H34" s="5" t="inlineStr">
        <is>
          <t>Harryson</t>
        </is>
      </c>
    </row>
    <row r="35">
      <c r="A35" s="5" t="n">
        <v>32</v>
      </c>
      <c r="B35" s="5" t="inlineStr">
        <is>
          <t>Seguimiento</t>
        </is>
      </c>
      <c r="C35" s="5" t="inlineStr">
        <is>
          <t>Un código inexistente responde sin revelar nada.</t>
        </is>
      </c>
      <c r="D35" s="5" t="inlineStr">
        <is>
          <t>RF-042</t>
        </is>
      </c>
      <c r="E35" s="5" t="inlineStr">
        <is>
          <t>Si</t>
        </is>
      </c>
      <c r="F35" s="5" t="inlineStr">
        <is>
          <t>Consulta con código inventado.</t>
        </is>
      </c>
      <c r="G35" s="5" t="inlineStr"/>
      <c r="H35" s="5" t="inlineStr">
        <is>
          <t>Dayana</t>
        </is>
      </c>
    </row>
    <row r="36">
      <c r="A36" s="5" t="n">
        <v>33</v>
      </c>
      <c r="B36" s="5" t="inlineStr">
        <is>
          <t>Notificaciones</t>
        </is>
      </c>
      <c r="C36" s="5" t="inlineStr">
        <is>
          <t>El cliente recibe aviso al cambiar de etapa.</t>
        </is>
      </c>
      <c r="D36" s="5" t="inlineStr">
        <is>
          <t>RF-063</t>
        </is>
      </c>
      <c r="E36" s="5" t="inlineStr">
        <is>
          <t>Parcial</t>
        </is>
      </c>
      <c r="F36" s="5" t="inlineStr">
        <is>
          <t>Avanzar una orden a LISTA y revisar el buzon.</t>
        </is>
      </c>
      <c r="G36" s="5" t="inlineStr">
        <is>
          <t>El aviso se dispara y se verifico con pruebas/integracion/avisoCambioEstado.js (12 comprobaciones). Sin SMTP_HOST el correo va a una bandeja de prueba y no llega al destinatario: queda Parcial hasta configurar el proveedor.</t>
        </is>
      </c>
      <c r="H36" s="5" t="inlineStr">
        <is>
          <t>Harryson, 13/09/2026</t>
        </is>
      </c>
    </row>
    <row r="37">
      <c r="A37" s="5" t="n">
        <v>34</v>
      </c>
      <c r="B37" s="5" t="inlineStr">
        <is>
          <t>Panel</t>
        </is>
      </c>
      <c r="C37" s="5" t="inlineStr">
        <is>
          <t>El panel muestra órdenes por estado y repuestos bajo mínimo.</t>
        </is>
      </c>
      <c r="D37" s="5" t="inlineStr">
        <is>
          <t>RF-067</t>
        </is>
      </c>
      <c r="E37" s="5" t="inlineStr">
        <is>
          <t>Si</t>
        </is>
      </c>
      <c r="F37" s="5" t="inlineStr">
        <is>
          <t>Entrada con admin@sigtm.com.</t>
        </is>
      </c>
      <c r="G37" s="5" t="inlineStr"/>
      <c r="H37" s="5" t="inlineStr">
        <is>
          <t>Jessica</t>
        </is>
      </c>
    </row>
    <row r="38">
      <c r="A38" s="7" t="inlineStr">
        <is>
          <t>Estado al 13/09/2026: 32 de 34 verificaciones cumplen y 1 queda parcial. La recuperacion de contrasena y el captcha pasaron a cumplir el 13/09. El aviso por correo funciona pero no llega al destinatario hasta configurar el proveedor. El descuento automatico de inventario sigue sin hacerse: es la deuda DT-04, declarada.</t>
        </is>
      </c>
    </row>
    <row r="39" ht="46" customHeight="1"/>
  </sheetData>
  <mergeCells count="2">
    <mergeCell ref="A1:H2"/>
    <mergeCell ref="A39:H39"/>
  </mergeCells>
  <conditionalFormatting sqref="E4:E37">
    <cfRule type="cellIs" priority="1" operator="equal" dxfId="0">
      <formula>"Si"</formula>
    </cfRule>
    <cfRule type="cellIs" priority="2" operator="equal" dxfId="1">
      <formula>"No"</formula>
    </cfRule>
    <cfRule type="cellIs" priority="3" operator="equal" dxfId="2">
      <formula>"Parcial"</formula>
    </cfRule>
  </conditionalFormatting>
  <dataValidations count="1">
    <dataValidation sqref="E4:E37" showDropDown="0" showInputMessage="0" showErrorMessage="0" allowBlank="1" type="list">
      <formula1>"Si,No,Parcial,N.A."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48" customWidth="1" min="3" max="3"/>
    <col width="10" customWidth="1" min="4" max="4"/>
    <col width="48" customWidth="1" min="5" max="5"/>
    <col width="36" customWidth="1" min="6" max="6"/>
  </cols>
  <sheetData>
    <row r="1" ht="34" customHeight="1">
      <c r="A1" s="1" t="inlineStr">
        <is>
          <t>VERIFICACIÓN TÉCNICA — SIGTM</t>
        </is>
      </c>
    </row>
    <row r="2" ht="10" customHeight="1"/>
    <row r="3" ht="30" customHeight="1">
      <c r="A3" s="4" t="inlineStr">
        <is>
          <t>N.</t>
        </is>
      </c>
      <c r="B3" s="4" t="inlineStr">
        <is>
          <t>Area</t>
        </is>
      </c>
      <c r="C3" s="4" t="inlineStr">
        <is>
          <t>Criterio</t>
        </is>
      </c>
      <c r="D3" s="4" t="inlineStr">
        <is>
          <t>Cumple</t>
        </is>
      </c>
      <c r="E3" s="4" t="inlineStr">
        <is>
          <t>Evidencia verificable</t>
        </is>
      </c>
      <c r="F3" s="4" t="inlineStr">
        <is>
          <t>Observacion</t>
        </is>
      </c>
    </row>
    <row r="4">
      <c r="A4" s="5" t="n">
        <v>1</v>
      </c>
      <c r="B4" s="5" t="inlineStr">
        <is>
          <t>Arranque</t>
        </is>
      </c>
      <c r="C4" s="5" t="inlineStr">
        <is>
          <t>El servidor arranca sin errores.</t>
        </is>
      </c>
      <c r="D4" s="5" t="inlineStr">
        <is>
          <t>Si</t>
        </is>
      </c>
      <c r="E4" s="5" t="inlineStr">
        <is>
          <t>npm run dev en la raíz del proyecto.</t>
        </is>
      </c>
      <c r="F4" s="5" t="inlineStr"/>
    </row>
    <row r="5">
      <c r="A5" s="5" t="n">
        <v>2</v>
      </c>
      <c r="B5" s="5" t="inlineStr">
        <is>
          <t>Arranque</t>
        </is>
      </c>
      <c r="C5" s="5" t="inlineStr">
        <is>
          <t>El cliente compila y arranca.</t>
        </is>
      </c>
      <c r="D5" s="5" t="inlineStr">
        <is>
          <t>Si</t>
        </is>
      </c>
      <c r="E5" s="5" t="inlineStr">
        <is>
          <t>npm run dev dentro de frontend.</t>
        </is>
      </c>
      <c r="F5" s="5" t="inlineStr"/>
    </row>
    <row r="6">
      <c r="A6" s="5" t="n">
        <v>3</v>
      </c>
      <c r="B6" s="5" t="inlineStr">
        <is>
          <t>Arranque</t>
        </is>
      </c>
      <c r="C6" s="5" t="inlineStr">
        <is>
          <t>La aplicación no arranca si falta una variable obligatoria.</t>
        </is>
      </c>
      <c r="D6" s="5" t="inlineStr">
        <is>
          <t>Si</t>
        </is>
      </c>
      <c r="E6" s="5" t="inlineStr">
        <is>
          <t>Quitar DATABASE_URL y arrancar: sale con mensaje explícito.</t>
        </is>
      </c>
      <c r="F6" s="5" t="inlineStr">
        <is>
          <t>Es deliberado.</t>
        </is>
      </c>
    </row>
    <row r="7">
      <c r="A7" s="5" t="n">
        <v>4</v>
      </c>
      <c r="B7" s="5" t="inlineStr">
        <is>
          <t>Contenedores</t>
        </is>
      </c>
      <c r="C7" s="5" t="inlineStr">
        <is>
          <t>El proyecto se levanta con un solo comando.</t>
        </is>
      </c>
      <c r="D7" s="5" t="inlineStr">
        <is>
          <t>Parcial</t>
        </is>
      </c>
      <c r="E7" s="5" t="inlineStr">
        <is>
          <t>docker compose up.</t>
        </is>
      </c>
      <c r="F7" s="5" t="inlineStr">
        <is>
          <t>Dockerfile, frontend/Dockerfile y docker-compose.yml escritos el 13/09 y validados con 'docker compose config'. Falta ejecutarlos: el equipo no tenia Docker Desktop en marcha.</t>
        </is>
      </c>
    </row>
    <row r="8">
      <c r="A8" s="5" t="n">
        <v>5</v>
      </c>
      <c r="B8" s="5" t="inlineStr">
        <is>
          <t>Pruebas</t>
        </is>
      </c>
      <c r="C8" s="5" t="inlineStr">
        <is>
          <t>Existe una suite automatizada.</t>
        </is>
      </c>
      <c r="D8" s="5" t="inlineStr">
        <is>
          <t>Si</t>
        </is>
      </c>
      <c r="E8" s="5" t="inlineStr">
        <is>
          <t>npm test: 32 pruebas, 32 en verde, sin base de datos.</t>
        </is>
      </c>
      <c r="F8" s="5" t="inlineStr">
        <is>
          <t>Cerro la deuda DT-07. Cubre la maquina de estados, los tokens de seguridad, el limite de intentos y la regla de cuando se avisa al cliente.</t>
        </is>
      </c>
    </row>
    <row r="9">
      <c r="A9" s="5" t="n">
        <v>6</v>
      </c>
      <c r="B9" s="5" t="inlineStr">
        <is>
          <t>Integración continua</t>
        </is>
      </c>
      <c r="C9" s="5" t="inlineStr">
        <is>
          <t>Cada envío dispara análisis y pruebas.</t>
        </is>
      </c>
      <c r="D9" s="5" t="inlineStr">
        <is>
          <t>Si</t>
        </is>
      </c>
      <c r="E9" s="5" t="inlineStr">
        <is>
          <t>.github/workflows/ci.yml.</t>
        </is>
      </c>
      <c r="F9" s="5" t="inlineStr">
        <is>
          <t>Cerro la deuda DT-08. Cada envio ejecuta pruebas, valida el esquema, compila el cliente y comprueba que no haya ningun .env versionado.</t>
        </is>
      </c>
    </row>
    <row r="10">
      <c r="A10" s="5" t="n">
        <v>7</v>
      </c>
      <c r="B10" s="5" t="inlineStr">
        <is>
          <t>Base de datos</t>
        </is>
      </c>
      <c r="C10" s="5" t="inlineStr">
        <is>
          <t>El esquema se reconstruye desde cero con las migraciones.</t>
        </is>
      </c>
      <c r="D10" s="5" t="inlineStr">
        <is>
          <t>Si</t>
        </is>
      </c>
      <c r="E10" s="5" t="inlineStr">
        <is>
          <t>npx prisma migrate status y migrate diff.</t>
        </is>
      </c>
      <c r="F10" s="5" t="inlineStr">
        <is>
          <t>Tres migraciones. Se aplicaron las dos que faltaban con 'migrate deploy', sin reset y sin perder datos. Sin deriva contra el esquema.</t>
        </is>
      </c>
    </row>
    <row r="11">
      <c r="A11" s="5" t="n">
        <v>8</v>
      </c>
      <c r="B11" s="5" t="inlineStr">
        <is>
          <t>Base de datos</t>
        </is>
      </c>
      <c r="C11" s="5" t="inlineStr">
        <is>
          <t>La semilla se puede ejecutar varias veces sin duplicar.</t>
        </is>
      </c>
      <c r="D11" s="5" t="inlineStr">
        <is>
          <t>Si</t>
        </is>
      </c>
      <c r="E11" s="5" t="inlineStr">
        <is>
          <t>npm run db:seed dos veces seguidas.</t>
        </is>
      </c>
      <c r="F11" s="5" t="inlineStr"/>
    </row>
    <row r="12">
      <c r="A12" s="5" t="n">
        <v>9</v>
      </c>
      <c r="B12" s="5" t="inlineStr">
        <is>
          <t>Base de datos</t>
        </is>
      </c>
      <c r="C12" s="5" t="inlineStr">
        <is>
          <t>Los importes conservan dos decimales exactos.</t>
        </is>
      </c>
      <c r="D12" s="5" t="inlineStr">
        <is>
          <t>Si</t>
        </is>
      </c>
      <c r="E12" s="5" t="inlineStr">
        <is>
          <t>Inspección del tipo decimal en el esquema.</t>
        </is>
      </c>
      <c r="F12" s="5" t="inlineStr"/>
    </row>
    <row r="13">
      <c r="A13" s="5" t="n">
        <v>10</v>
      </c>
      <c r="B13" s="5" t="inlineStr">
        <is>
          <t>Seguridad</t>
        </is>
      </c>
      <c r="C13" s="5" t="inlineStr">
        <is>
          <t>Las contraseñas se guardan cifradas.</t>
        </is>
      </c>
      <c r="D13" s="5" t="inlineStr">
        <is>
          <t>Si</t>
        </is>
      </c>
      <c r="E13" s="5" t="inlineStr">
        <is>
          <t>Inspección de la tabla de usuarios.</t>
        </is>
      </c>
      <c r="F13" s="5" t="inlineStr"/>
    </row>
    <row r="14">
      <c r="A14" s="5" t="n">
        <v>11</v>
      </c>
      <c r="B14" s="5" t="inlineStr">
        <is>
          <t>Seguridad</t>
        </is>
      </c>
      <c r="C14" s="5" t="inlineStr">
        <is>
          <t>Los tokens de correo se guardan cifrados.</t>
        </is>
      </c>
      <c r="D14" s="5" t="inlineStr">
        <is>
          <t>Si</t>
        </is>
      </c>
      <c r="E14" s="5" t="inlineStr">
        <is>
          <t>Inspeccion de la tabla tokens_seguridad.</t>
        </is>
      </c>
      <c r="F14" s="5" t="inlineStr">
        <is>
          <t>Se guarda la huella SHA-256, nunca el token. Del hash no se vuelve al enlace.</t>
        </is>
      </c>
    </row>
    <row r="15">
      <c r="A15" s="5" t="n">
        <v>12</v>
      </c>
      <c r="B15" s="5" t="inlineStr">
        <is>
          <t>Seguridad</t>
        </is>
      </c>
      <c r="C15" s="5" t="inlineStr">
        <is>
          <t>El origen del navegador está declarado explícitamente.</t>
        </is>
      </c>
      <c r="D15" s="5" t="inlineStr">
        <is>
          <t>Si</t>
        </is>
      </c>
      <c r="E15" s="5" t="inlineStr">
        <is>
          <t>Petición desde un origen distinto: rechazada.</t>
        </is>
      </c>
      <c r="F15" s="5" t="inlineStr"/>
    </row>
    <row r="16">
      <c r="A16" s="5" t="n">
        <v>13</v>
      </c>
      <c r="B16" s="5" t="inlineStr">
        <is>
          <t>Seguridad</t>
        </is>
      </c>
      <c r="C16" s="5" t="inlineStr">
        <is>
          <t>Toda entrada se valida antes de la lógica de negocio.</t>
        </is>
      </c>
      <c r="D16" s="5" t="inlineStr">
        <is>
          <t>Si</t>
        </is>
      </c>
      <c r="E16" s="5" t="inlineStr">
        <is>
          <t>Validadores declarados en los endpoints con cuerpo o parámetros.</t>
        </is>
      </c>
      <c r="F16" s="5" t="inlineStr"/>
    </row>
    <row r="17">
      <c r="A17" s="5" t="n">
        <v>14</v>
      </c>
      <c r="B17" s="5" t="inlineStr">
        <is>
          <t>Seguridad</t>
        </is>
      </c>
      <c r="C17" s="5" t="inlineStr">
        <is>
          <t>Hay límite de intentos en las rutas sensibles.</t>
        </is>
      </c>
      <c r="D17" s="5" t="inlineStr">
        <is>
          <t>Si</t>
        </is>
      </c>
      <c r="E17" s="5" t="inlineStr">
        <is>
          <t>Seis solicitudes seguidas de recuperacion: la sexta responde 429.</t>
        </is>
      </c>
      <c r="F17" s="5" t="inlineStr">
        <is>
          <t>Registro, inicio de sesion, envio de correo, comprobacion de enlace y restablecimiento, cada uno con su propio contador.</t>
        </is>
      </c>
    </row>
    <row r="18">
      <c r="A18" s="5" t="n">
        <v>15</v>
      </c>
      <c r="B18" s="5" t="inlineStr">
        <is>
          <t>Seguridad</t>
        </is>
      </c>
      <c r="C18" s="5" t="inlineStr">
        <is>
          <t>Hay cabeceras de seguridad configuradas.</t>
        </is>
      </c>
      <c r="D18" s="5" t="inlineStr">
        <is>
          <t>Si</t>
        </is>
      </c>
      <c r="E18" s="5" t="inlineStr">
        <is>
          <t>Inspeccion de las cabeceras de respuesta.</t>
        </is>
      </c>
      <c r="F18" s="5" t="inlineStr">
        <is>
          <t>helmet activo: X-Content-Type-Options, Referrer-Policy, X-Frame-Options y Strict-Transport-Security. Cerro la mitad de la deuda DT-02.</t>
        </is>
      </c>
    </row>
    <row r="19">
      <c r="A19" s="5" t="n">
        <v>16</v>
      </c>
      <c r="B19" s="5" t="inlineStr">
        <is>
          <t>Seguridad</t>
        </is>
      </c>
      <c r="C19" s="5" t="inlineStr">
        <is>
          <t>Ningún secreto aparece en el repositorio.</t>
        </is>
      </c>
      <c r="D19" s="5" t="inlineStr">
        <is>
          <t>Si</t>
        </is>
      </c>
      <c r="E19" s="5" t="inlineStr">
        <is>
          <t>git check-ignore .env e inspección del historial.</t>
        </is>
      </c>
      <c r="F19" s="5" t="inlineStr"/>
    </row>
    <row r="20">
      <c r="A20" s="5" t="n">
        <v>17</v>
      </c>
      <c r="B20" s="5" t="inlineStr">
        <is>
          <t>Operación</t>
        </is>
      </c>
      <c r="C20" s="5" t="inlineStr">
        <is>
          <t>El chequeo de salud detecta la caída de la base de datos.</t>
        </is>
      </c>
      <c r="D20" s="5" t="inlineStr">
        <is>
          <t>Si</t>
        </is>
      </c>
      <c r="E20" s="5" t="inlineStr">
        <is>
          <t>GET /api/health con la base desconectada: responde 503.</t>
        </is>
      </c>
      <c r="F20" s="5" t="inlineStr"/>
    </row>
    <row r="21">
      <c r="A21" s="5" t="n">
        <v>18</v>
      </c>
      <c r="B21" s="5" t="inlineStr">
        <is>
          <t>Operación</t>
        </is>
      </c>
      <c r="C21" s="5" t="inlineStr">
        <is>
          <t>El servidor cierra de forma ordenada.</t>
        </is>
      </c>
      <c r="D21" s="5" t="inlineStr">
        <is>
          <t>Si</t>
        </is>
      </c>
      <c r="E21" s="5" t="inlineStr">
        <is>
          <t>Señal de término: cierra la conexión y sale.</t>
        </is>
      </c>
      <c r="F21" s="5" t="inlineStr"/>
    </row>
    <row r="22">
      <c r="A22" s="5" t="n">
        <v>19</v>
      </c>
      <c r="B22" s="5" t="inlineStr">
        <is>
          <t>Operación</t>
        </is>
      </c>
      <c r="C22" s="5" t="inlineStr">
        <is>
          <t>Los errores no exponen trazas internas al cliente.</t>
        </is>
      </c>
      <c r="D22" s="5" t="inlineStr">
        <is>
          <t>Si</t>
        </is>
      </c>
      <c r="E22" s="5" t="inlineStr">
        <is>
          <t>Provocar un error y revisar la respuesta.</t>
        </is>
      </c>
      <c r="F22" s="5" t="inlineStr"/>
    </row>
    <row r="23">
      <c r="A23" s="5" t="n">
        <v>20</v>
      </c>
      <c r="B23" s="5" t="inlineStr">
        <is>
          <t>Código</t>
        </is>
      </c>
      <c r="C23" s="5" t="inlineStr">
        <is>
          <t>Las capas respetan su dirección de dependencia.</t>
        </is>
      </c>
      <c r="D23" s="5" t="inlineStr">
        <is>
          <t>Si</t>
        </is>
      </c>
      <c r="E23" s="5" t="inlineStr">
        <is>
          <t>Solo los repositorios acceden al ORM.</t>
        </is>
      </c>
      <c r="F23" s="5" t="inlineStr"/>
    </row>
    <row r="24">
      <c r="A24" s="5" t="n">
        <v>21</v>
      </c>
      <c r="B24" s="5" t="inlineStr">
        <is>
          <t>Código</t>
        </is>
      </c>
      <c r="C24" s="5" t="inlineStr">
        <is>
          <t>Los finales de línea están normalizados entre equipos.</t>
        </is>
      </c>
      <c r="D24" s="5" t="inlineStr">
        <is>
          <t>Si</t>
        </is>
      </c>
      <c r="E24" s="5" t="inlineStr">
        <is>
          <t>Archivo .gitattributes en la raíz.</t>
        </is>
      </c>
      <c r="F24" s="5" t="inlineStr"/>
    </row>
    <row r="25">
      <c r="A25" s="5" t="n">
        <v>22</v>
      </c>
      <c r="B25" s="5" t="inlineStr">
        <is>
          <t>Documentación</t>
        </is>
      </c>
      <c r="C25" s="5" t="inlineStr">
        <is>
          <t>La API está catalogada con su permiso por endpoint.</t>
        </is>
      </c>
      <c r="D25" s="5" t="inlineStr">
        <is>
          <t>Si</t>
        </is>
      </c>
      <c r="E25" s="5" t="inlineStr">
        <is>
          <t>61 endpoints en el documento de arquitectura.</t>
        </is>
      </c>
      <c r="F25" s="5" t="inlineStr"/>
    </row>
    <row r="26">
      <c r="A26" s="5" t="n">
        <v>23</v>
      </c>
      <c r="B26" s="5" t="inlineStr">
        <is>
          <t>Documentación</t>
        </is>
      </c>
      <c r="C26" s="5" t="inlineStr">
        <is>
          <t>La API está publicada en formato navegable.</t>
        </is>
      </c>
      <c r="D26" s="5" t="inlineStr">
        <is>
          <t>No</t>
        </is>
      </c>
      <c r="E26" s="5" t="inlineStr">
        <is>
          <t>No hay Swagger configurado.</t>
        </is>
      </c>
      <c r="F26" s="5" t="inlineStr">
        <is>
          <t>Deuda DT-10.</t>
        </is>
      </c>
    </row>
    <row r="27">
      <c r="A27" s="7" t="inlineStr">
        <is>
          <t>Estado al 13/09/2026: 21 de 23 criterios cumplen y 1 queda parcial. Pruebas automatizadas, integracion continua y cabeceras de seguridad pasaron a cumplir el 13/09. Queda sin cumplir la publicacion navegable de la API (deuda DT-10).</t>
        </is>
      </c>
    </row>
    <row r="35" ht="46" customHeight="1"/>
  </sheetData>
  <mergeCells count="2">
    <mergeCell ref="A35:F35"/>
    <mergeCell ref="A1:F2"/>
  </mergeCells>
  <conditionalFormatting sqref="D4:D33">
    <cfRule type="cellIs" priority="1" operator="equal" dxfId="0">
      <formula>"Si"</formula>
    </cfRule>
    <cfRule type="cellIs" priority="2" operator="equal" dxfId="1">
      <formula>"No"</formula>
    </cfRule>
    <cfRule type="cellIs" priority="3" operator="equal" dxfId="2">
      <formula>"Parcial"</formula>
    </cfRule>
  </conditionalFormatting>
  <dataValidations count="1">
    <dataValidation sqref="D4:D33" showDropDown="0" showInputMessage="0" showErrorMessage="0" allowBlank="1" type="list">
      <formula1>"Si,No,Parcial,N.A."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50" customWidth="1" min="3" max="3"/>
    <col width="10" customWidth="1" min="4" max="4"/>
    <col width="48" customWidth="1" min="5" max="5"/>
    <col width="18" customWidth="1" min="6" max="6"/>
  </cols>
  <sheetData>
    <row r="1" ht="34" customHeight="1">
      <c r="A1" s="1" t="inlineStr">
        <is>
          <t>PREPARACION DE LA SUSTENTACION</t>
        </is>
      </c>
    </row>
    <row r="2" ht="10" customHeight="1"/>
    <row r="3" ht="30" customHeight="1">
      <c r="A3" s="4" t="inlineStr">
        <is>
          <t>N.</t>
        </is>
      </c>
      <c r="B3" s="4" t="inlineStr">
        <is>
          <t>Aspecto</t>
        </is>
      </c>
      <c r="C3" s="4" t="inlineStr">
        <is>
          <t>Criterio</t>
        </is>
      </c>
      <c r="D3" s="4" t="inlineStr">
        <is>
          <t>Listo</t>
        </is>
      </c>
      <c r="E3" s="4" t="inlineStr">
        <is>
          <t>Como se comprueba</t>
        </is>
      </c>
      <c r="F3" s="4" t="inlineStr">
        <is>
          <t>Responsable</t>
        </is>
      </c>
    </row>
    <row r="4">
      <c r="A4" s="5" t="n">
        <v>1</v>
      </c>
      <c r="B4" s="5" t="inlineStr">
        <is>
          <t>Ambiente</t>
        </is>
      </c>
      <c r="C4" s="5" t="inlineStr">
        <is>
          <t>La aplicacion arranca en el equipo con el que se va a sustentar.</t>
        </is>
      </c>
      <c r="D4" s="5" t="inlineStr">
        <is>
          <t>Si</t>
        </is>
      </c>
      <c r="E4" s="5" t="inlineStr">
        <is>
          <t>Ensayo completo: imagen, contenedor, cliente y navegador.</t>
        </is>
      </c>
      <c r="F4" s="5" t="inlineStr">
        <is>
          <t>Harryson, Jessica y Dayana</t>
        </is>
      </c>
    </row>
    <row r="5">
      <c r="A5" s="6" t="n">
        <v>2</v>
      </c>
      <c r="B5" s="6" t="inlineStr">
        <is>
          <t>Ambiente</t>
        </is>
      </c>
      <c r="C5" s="6" t="inlineStr">
        <is>
          <t>Hay datos de demostracion cargados y coherentes.</t>
        </is>
      </c>
      <c r="D5" s="6" t="inlineStr">
        <is>
          <t>No</t>
        </is>
      </c>
      <c r="E5" s="6" t="inlineStr">
        <is>
          <t>Un usuario con al menos dos meses de movimientos, presupuestos, una obligacion con pagos y una meta con abonos.</t>
        </is>
      </c>
      <c r="F5" s="6" t="inlineStr">
        <is>
          <t>Jessica [apellidos por completar], 05/09/2026</t>
        </is>
      </c>
    </row>
    <row r="6">
      <c r="A6" s="5" t="n">
        <v>3</v>
      </c>
      <c r="B6" s="5" t="inlineStr">
        <is>
          <t>Ambiente</t>
        </is>
      </c>
      <c r="C6" s="5" t="inlineStr">
        <is>
          <t>Existe un usuario administrador para demostrar ese perfil.</t>
        </is>
      </c>
      <c r="D6" s="5" t="inlineStr">
        <is>
          <t>No</t>
        </is>
      </c>
      <c r="E6" s="5" t="inlineStr">
        <is>
          <t>Cuenta con rol de administrador y acciones registradas en la bitacora.</t>
        </is>
      </c>
      <c r="F6" s="5" t="inlineStr">
        <is>
          <t>Harryson, 05/09/2026</t>
        </is>
      </c>
    </row>
    <row r="7">
      <c r="A7" s="6" t="n">
        <v>4</v>
      </c>
      <c r="B7" s="6" t="inlineStr">
        <is>
          <t>Ambiente</t>
        </is>
      </c>
      <c r="C7" s="6" t="inlineStr">
        <is>
          <t>Hay plan B si falla la conexion a internet.</t>
        </is>
      </c>
      <c r="D7" s="6" t="inlineStr">
        <is>
          <t>No</t>
        </is>
      </c>
      <c r="E7" s="6" t="inlineStr">
        <is>
          <t>docker compose up levanta PostgreSQL local. Ensayarlo con el cable desconectado.</t>
        </is>
      </c>
      <c r="F7" s="6" t="inlineStr">
        <is>
          <t>Harryson, 05/09/2026</t>
        </is>
      </c>
    </row>
    <row r="8">
      <c r="A8" s="5" t="n">
        <v>5</v>
      </c>
      <c r="B8" s="5" t="inlineStr">
        <is>
          <t>Ambiente</t>
        </is>
      </c>
      <c r="C8" s="5" t="inlineStr">
        <is>
          <t>Hay respaldo del recorrido en video o capturas.</t>
        </is>
      </c>
      <c r="D8" s="5" t="inlineStr">
        <is>
          <t>No</t>
        </is>
      </c>
      <c r="E8" s="5" t="inlineStr">
        <is>
          <t>Grabacion del recorrido completo, por si el ambiente falla en vivo.</t>
        </is>
      </c>
      <c r="F8" s="5" t="inlineStr">
        <is>
          <t>Jessica [apellidos por completar], 18/09/2026</t>
        </is>
      </c>
    </row>
    <row r="9">
      <c r="A9" s="6" t="n">
        <v>6</v>
      </c>
      <c r="B9" s="6" t="inlineStr">
        <is>
          <t>Guion</t>
        </is>
      </c>
      <c r="C9" s="6" t="inlineStr">
        <is>
          <t>El recorrido de la demostracion esta escrito y ensayado.</t>
        </is>
      </c>
      <c r="D9" s="6" t="inlineStr">
        <is>
          <t>No</t>
        </is>
      </c>
      <c r="E9" s="6" t="inlineStr">
        <is>
          <t>EVA-03, seccion del guion. Al menos dos ensayos cronometrados.</t>
        </is>
      </c>
      <c r="F9" s="6" t="inlineStr">
        <is>
          <t>Harryson, Jessica y Dayana, 18/09/2026</t>
        </is>
      </c>
    </row>
    <row r="10">
      <c r="A10" s="5" t="n">
        <v>7</v>
      </c>
      <c r="B10" s="5" t="inlineStr">
        <is>
          <t>Guion</t>
        </is>
      </c>
      <c r="C10" s="5" t="inlineStr">
        <is>
          <t>El reparto entre los dos integrantes esta definido.</t>
        </is>
      </c>
      <c r="D10" s="5" t="inlineStr">
        <is>
          <t>No</t>
        </is>
      </c>
      <c r="E10" s="5" t="inlineStr">
        <is>
          <t>EVA-03. Quien habla en cada bloque y quien opera el equipo.</t>
        </is>
      </c>
      <c r="F10" s="5" t="inlineStr">
        <is>
          <t>Harryson, Jessica y Dayana, 18/09/2026</t>
        </is>
      </c>
    </row>
    <row r="11">
      <c r="A11" s="6" t="n">
        <v>8</v>
      </c>
      <c r="B11" s="6" t="inlineStr">
        <is>
          <t>Guion</t>
        </is>
      </c>
      <c r="C11" s="6" t="inlineStr">
        <is>
          <t>La demostracion cabe en el tiempo asignado.</t>
        </is>
      </c>
      <c r="D11" s="6" t="inlineStr">
        <is>
          <t>No</t>
        </is>
      </c>
      <c r="E11" s="6" t="inlineStr">
        <is>
          <t>Cronometrar. Si sobra material, decidir antes que se recorta.</t>
        </is>
      </c>
      <c r="F11" s="6" t="inlineStr">
        <is>
          <t>Harryson, Jessica y Dayana, 18/09/2026</t>
        </is>
      </c>
    </row>
    <row r="12">
      <c r="A12" s="5" t="n">
        <v>9</v>
      </c>
      <c r="B12" s="5" t="inlineStr">
        <is>
          <t>Dominio</t>
        </is>
      </c>
      <c r="C12" s="5" t="inlineStr">
        <is>
          <t>Cada integrante puede explicar el area del otro.</t>
        </is>
      </c>
      <c r="D12" s="5" t="inlineStr">
        <is>
          <t>No</t>
        </is>
      </c>
      <c r="E12" s="5" t="inlineStr">
        <is>
          <t>Ensayo cruzado: Jessica [apellidos por completar] explica la descomposicion de intereses, Harryson explica la navegacion del cliente.</t>
        </is>
      </c>
      <c r="F12" s="5" t="inlineStr">
        <is>
          <t>Harryson, Jessica y Dayana, 05/09/2026</t>
        </is>
      </c>
    </row>
    <row r="13">
      <c r="A13" s="6" t="n">
        <v>10</v>
      </c>
      <c r="B13" s="6" t="inlineStr">
        <is>
          <t>Dominio</t>
        </is>
      </c>
      <c r="C13" s="6" t="inlineStr">
        <is>
          <t>El equipo puede justificar las decisiones de arquitectura.</t>
        </is>
      </c>
      <c r="D13" s="6" t="inlineStr">
        <is>
          <t>Parcial</t>
        </is>
      </c>
      <c r="E13" s="6" t="inlineStr">
        <is>
          <t>Los 17 ADR estan escritos en ARQ-01. Harryson los domina; Jessica [apellidos por completar] no los ha repasado.</t>
        </is>
      </c>
      <c r="F13" s="6" t="inlineStr">
        <is>
          <t>Jessica [apellidos por completar], 05/09/2026</t>
        </is>
      </c>
    </row>
    <row r="14">
      <c r="A14" s="5" t="n">
        <v>11</v>
      </c>
      <c r="B14" s="5" t="inlineStr">
        <is>
          <t>Dominio</t>
        </is>
      </c>
      <c r="C14" s="5" t="inlineStr">
        <is>
          <t>El equipo puede explicar por que las tarjetas no suman al disponible.</t>
        </is>
      </c>
      <c r="D14" s="5" t="inlineStr">
        <is>
          <t>Si</t>
        </is>
      </c>
      <c r="E14" s="5" t="inlineStr">
        <is>
          <t>RN-020 y DEF-01. Es la anecdota mas util del proyecto: el defecto lo encontro el equipo usando la aplicacion.</t>
        </is>
      </c>
      <c r="F14" s="5" t="inlineStr">
        <is>
          <t>Harryson, Jessica y Dayana</t>
        </is>
      </c>
    </row>
    <row r="15">
      <c r="A15" s="6" t="n">
        <v>12</v>
      </c>
      <c r="B15" s="6" t="inlineStr">
        <is>
          <t>Dominio</t>
        </is>
      </c>
      <c r="C15" s="6" t="inlineStr">
        <is>
          <t>El equipo puede responder por los defectos y por lo que cambio cada uno.</t>
        </is>
      </c>
      <c r="D15" s="6" t="inlineStr">
        <is>
          <t>Si</t>
        </is>
      </c>
      <c r="E15" s="6" t="inlineStr">
        <is>
          <t>CAL-01 documenta 12 defectos con causa raiz y cambio de proceso.</t>
        </is>
      </c>
      <c r="F15" s="6" t="inlineStr">
        <is>
          <t>Harryson</t>
        </is>
      </c>
    </row>
    <row r="16">
      <c r="A16" s="5" t="n">
        <v>13</v>
      </c>
      <c r="B16" s="5" t="inlineStr">
        <is>
          <t>Honestidad</t>
        </is>
      </c>
      <c r="C16" s="5" t="inlineStr">
        <is>
          <t>Los pendientes se declaran, no se esconden.</t>
        </is>
      </c>
      <c r="D16" s="5" t="inlineStr">
        <is>
          <t>Si</t>
        </is>
      </c>
      <c r="E16" s="5" t="inlineStr">
        <is>
          <t>RF-004 no implementado, las claves de Google y captcha pendientes, y las tres ramas por incorporar estan escritos en CIE-01 y en esta lista.</t>
        </is>
      </c>
      <c r="F16" s="5" t="inlineStr">
        <is>
          <t>Harryson</t>
        </is>
      </c>
    </row>
    <row r="17">
      <c r="A17" s="6" t="n">
        <v>14</v>
      </c>
      <c r="B17" s="6" t="inlineStr">
        <is>
          <t>Honestidad</t>
        </is>
      </c>
      <c r="C17" s="6" t="inlineStr">
        <is>
          <t>El uso de herramientas de IA esta declarado como fue.</t>
        </is>
      </c>
      <c r="D17" s="6" t="inlineStr">
        <is>
          <t>Si</t>
        </is>
      </c>
      <c r="E17" s="6" t="inlineStr">
        <is>
          <t>Declaracion de autoria en CIE-01, sin atenuar el alcance real.</t>
        </is>
      </c>
      <c r="F17" s="6" t="inlineStr">
        <is>
          <t>Harryson</t>
        </is>
      </c>
    </row>
    <row r="18">
      <c r="A18" s="5" t="n">
        <v>15</v>
      </c>
      <c r="B18" s="5" t="inlineStr">
        <is>
          <t>Entrega</t>
        </is>
      </c>
      <c r="C18" s="5" t="inlineStr">
        <is>
          <t>Los documentos del Drive coinciden con la version etiquetada.</t>
        </is>
      </c>
      <c r="D18" s="5" t="inlineStr">
        <is>
          <t>No</t>
        </is>
      </c>
      <c r="E18" s="5" t="inlineStr">
        <is>
          <t>Comparar el Indice Maestro contra la etiqueta v1.0.0 despues de crearla.</t>
        </is>
      </c>
      <c r="F18" s="5" t="inlineStr">
        <is>
          <t>Harryson, 18/09/2026</t>
        </is>
      </c>
    </row>
    <row r="19">
      <c r="A19" s="6" t="n">
        <v>16</v>
      </c>
      <c r="B19" s="6" t="inlineStr">
        <is>
          <t>Entrega</t>
        </is>
      </c>
      <c r="C19" s="6" t="inlineStr">
        <is>
          <t>El repositorio esta accesible para el instructor.</t>
        </is>
      </c>
      <c r="D19" s="6" t="inlineStr">
        <is>
          <t>Si</t>
        </is>
      </c>
      <c r="E19" s="6" t="inlineStr">
        <is>
          <t>Repositorio con acceso concedido. Enlace en el Indice Maestro.</t>
        </is>
      </c>
      <c r="F19" s="6" t="inlineStr">
        <is>
          <t>Harryson</t>
        </is>
      </c>
    </row>
    <row r="21" ht="46" customHeight="1">
      <c r="A21" s="7" t="inlineStr">
        <is>
          <t>Esta es la hoja mas roja del instrumento, y es lo esperado el 11 de septiembre: la preparacion de la sustentacion se hace al final. Lo que importa es que las 9 casillas en No tienen responsable y fecha, todas anteriores al congelamiento de codigo del 8 de septiembre. Una casilla en No con fecha es una tarea; sin fecha es una sorpresa.</t>
        </is>
      </c>
    </row>
  </sheetData>
  <mergeCells count="2">
    <mergeCell ref="A21:F21"/>
    <mergeCell ref="A1:F2"/>
  </mergeCells>
  <conditionalFormatting sqref="D4:D19">
    <cfRule type="cellIs" priority="1" operator="equal" dxfId="0">
      <formula>"Si"</formula>
    </cfRule>
    <cfRule type="cellIs" priority="2" operator="equal" dxfId="1">
      <formula>"No"</formula>
    </cfRule>
    <cfRule type="cellIs" priority="3" operator="equal" dxfId="2">
      <formula>"Parcial"</formula>
    </cfRule>
  </conditionalFormatting>
  <dataValidations count="1">
    <dataValidation sqref="D4:D19" showDropDown="0" showInputMessage="0" showErrorMessage="0" allowBlank="1" type="list">
      <formula1>"Si,No,Parcial,N.A."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44" customWidth="1" min="3" max="3"/>
    <col width="11" customWidth="1" min="4" max="4"/>
    <col width="52" customWidth="1" min="5" max="5"/>
    <col width="40" customWidth="1" min="6" max="6"/>
  </cols>
  <sheetData>
    <row r="1" ht="34" customHeight="1">
      <c r="A1" s="1" t="inlineStr">
        <is>
          <t>AUTOEVALUACION DE MADUREZ  ·  escala de GOB-01, seccion 11</t>
        </is>
      </c>
    </row>
    <row r="2" ht="10" customHeight="1"/>
    <row r="3" ht="30" customHeight="1">
      <c r="A3" s="4" t="inlineStr">
        <is>
          <t>Nivel</t>
        </is>
      </c>
      <c r="B3" s="4" t="inlineStr">
        <is>
          <t>Estado</t>
        </is>
      </c>
      <c r="C3" s="4" t="inlineStr">
        <is>
          <t>Documentacion esperada</t>
        </is>
      </c>
      <c r="D3" s="4" t="inlineStr">
        <is>
          <t>Alcanzado</t>
        </is>
      </c>
      <c r="E3" s="4" t="inlineStr">
        <is>
          <t>Evidencia en SIGTM</t>
        </is>
      </c>
      <c r="F3" s="4" t="inlineStr">
        <is>
          <t>Lo que faltaria</t>
        </is>
      </c>
    </row>
    <row r="4">
      <c r="A4" s="5" t="n">
        <v>0</v>
      </c>
      <c r="B4" s="5" t="inlineStr">
        <is>
          <t>No demostrable</t>
        </is>
      </c>
      <c r="C4" s="5" t="inlineStr">
        <is>
          <t>Producto no ejecutable o documentacion sin correspondencia.</t>
        </is>
      </c>
      <c r="D4" s="5" t="inlineStr">
        <is>
          <t>Superado</t>
        </is>
      </c>
      <c r="E4" s="5" t="inlineStr">
        <is>
          <t>La aplicacion se ejecuta y los documentos corresponden a lo construido.</t>
        </is>
      </c>
      <c r="F4" s="5" t="inlineStr">
        <is>
          <t>-</t>
        </is>
      </c>
    </row>
    <row r="5">
      <c r="A5" s="6" t="n">
        <v>1</v>
      </c>
      <c r="B5" s="6" t="inlineStr">
        <is>
          <t>Prototipo basico</t>
        </is>
      </c>
      <c r="C5" s="6" t="inlineStr">
        <is>
          <t>Formulacion, alcance, backlog y diseno basico.</t>
        </is>
      </c>
      <c r="D5" s="6" t="inlineStr">
        <is>
          <t>Superado</t>
        </is>
      </c>
      <c r="E5" s="6" t="inlineStr">
        <is>
          <t>INI-01, GES-01, REQ-01, REQ-02 y DSN-01 completos. 20 pantallas disenadas.</t>
        </is>
      </c>
      <c r="F5" s="6" t="inlineStr">
        <is>
          <t>-</t>
        </is>
      </c>
    </row>
    <row r="6">
      <c r="A6" s="5" t="n">
        <v>2</v>
      </c>
      <c r="B6" s="5" t="inlineStr">
        <is>
          <t>Producto funcional</t>
        </is>
      </c>
      <c r="C6" s="5" t="inlineStr">
        <is>
          <t>Documentos principales minimos, pruebas criticas, despliegue reproducible.</t>
        </is>
      </c>
      <c r="D6" s="5" t="inlineStr">
        <is>
          <t>Alcanzado</t>
        </is>
      </c>
      <c r="E6" s="5" t="inlineStr">
        <is>
          <t>Trece modulos funcionales, 61 endpoints con permiso verificado, doce entidades, tres migraciones versionadas, base administrada en Neon y empaquetado en contenedores escrito y validado.</t>
        </is>
      </c>
      <c r="F6" s="5" t="inlineStr">
        <is>
          <t>-</t>
        </is>
      </c>
    </row>
    <row r="7">
      <c r="A7" s="6" t="n">
        <v>3</v>
      </c>
      <c r="B7" s="6" t="inlineStr">
        <is>
          <t>Producto profesional</t>
        </is>
      </c>
      <c r="C7" s="6" t="inlineStr">
        <is>
          <t>Seguridad, pruebas, integracion continua, manuales, operacion y trazabilidad solidas.</t>
        </is>
      </c>
      <c r="D7" s="6" t="inlineStr">
        <is>
          <t>Alcanzado con una salvedad</t>
        </is>
      </c>
      <c r="E7" s="6" t="inlineStr">
        <is>
          <t>Seguridad con los ocho hallazgos cerrados y propiedad del recurso comprobada en el servidor; 32 pruebas de unidad y 27 comprobaciones de integracion; integracion continua en cada envio; manuales tecnico y de usuario; matriz de trazabilidad de 85 filas sin huecos.</t>
        </is>
      </c>
      <c r="F7" s="6" t="inlineStr">
        <is>
          <t>Falta ejecutar el empaquetado en contenedores y configurar el proveedor de correo, y falta la etiqueta de version que ligue lo entregado con lo documentado.</t>
        </is>
      </c>
    </row>
    <row r="8">
      <c r="A8" s="5" t="n">
        <v>4</v>
      </c>
      <c r="B8" s="5" t="inlineStr">
        <is>
          <t>Producto avanzado</t>
        </is>
      </c>
      <c r="C8" s="5" t="inlineStr">
        <is>
          <t>Observabilidad, rendimiento, accesibilidad, automatizacion y escalabilidad verificadas.</t>
        </is>
      </c>
      <c r="D8" s="5" t="inlineStr">
        <is>
          <t>No alcanzado</t>
        </is>
      </c>
      <c r="E8" s="5" t="inlineStr">
        <is>
          <t>Hay accesibilidad verificada por medicion (contraste de los 10 pares del sistema de diseno) y automatizacion parcial (compilar y probar en cada peticion).</t>
        </is>
      </c>
      <c r="F8" s="5" t="inlineStr">
        <is>
          <t>Sin metricas de observabilidad mas alla del chequeo de disponibilidad, sin medicion de rendimiento bajo carga, sin despliegue automatico y sin separacion entre pruebas y produccion. Fuera del alcance academico.</t>
        </is>
      </c>
    </row>
    <row r="10" ht="46" customHeight="1">
      <c r="A10" s="7" t="inlineStr">
        <is>
          <t>Autoevaluacion: nivel 3, producto profesional, con una salvedad concreta y con fecha. No se reclama nivel 4: falta observabilidad, medicion de rendimiento y separacion de ambientes, y reclamarlo seria facil de desmontar en la sustentacion con una sola pregunta. Declarar el nivel real y saber exactamente que falta para el siguiente vale mas que reclamar uno de mas.</t>
        </is>
      </c>
    </row>
  </sheetData>
  <mergeCells count="2">
    <mergeCell ref="A10:F10"/>
    <mergeCell ref="A1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26" customWidth="1" min="4" max="4"/>
    <col width="9" customWidth="1" min="5" max="5"/>
    <col width="9" customWidth="1" min="6" max="6"/>
    <col width="13" customWidth="1" min="7" max="7"/>
  </cols>
  <sheetData>
    <row r="1" ht="34" customHeight="1">
      <c r="A1" s="1" t="inlineStr">
        <is>
          <t>RESUMEN Y DECISION DE ENTREGA  ·  hoja calculada, no se edita</t>
        </is>
      </c>
    </row>
    <row r="2" ht="10" customHeight="1"/>
    <row r="3" ht="30" customHeight="1">
      <c r="A3" s="4" t="inlineStr">
        <is>
          <t>Hoja</t>
        </is>
      </c>
      <c r="B3" s="4" t="inlineStr">
        <is>
          <t>Criterios</t>
        </is>
      </c>
      <c r="C3" s="4" t="inlineStr">
        <is>
          <t>Cumple</t>
        </is>
      </c>
      <c r="D3" s="4" t="inlineStr">
        <is>
          <t>No cumple</t>
        </is>
      </c>
      <c r="E3" s="4" t="inlineStr">
        <is>
          <t>Parcial</t>
        </is>
      </c>
      <c r="F3" s="4" t="inlineStr">
        <is>
          <t>N.A.</t>
        </is>
      </c>
      <c r="G3" s="4" t="inlineStr">
        <is>
          <t>% de avance</t>
        </is>
      </c>
    </row>
    <row r="4">
      <c r="A4" s="5" t="inlineStr">
        <is>
          <t>Chequeo_Documental</t>
        </is>
      </c>
      <c r="B4" s="5">
        <f>COUNTA(Chequeo_Documental!C4:C13)</f>
        <v/>
      </c>
      <c r="C4" s="5">
        <f>COUNTIF(Chequeo_Documental!C4:C13,"Si")</f>
        <v/>
      </c>
      <c r="D4" s="5">
        <f>COUNTIF(Chequeo_Documental!C4:C13,"No")</f>
        <v/>
      </c>
      <c r="E4" s="5">
        <f>COUNTIF(Chequeo_Documental!C4:C13,"Parcial")</f>
        <v/>
      </c>
      <c r="F4" s="5">
        <f>COUNTIF(Chequeo_Documental!C4:C13,"N.A.")</f>
        <v/>
      </c>
      <c r="G4" s="8">
        <f>IF(B4=0,0,C4/B4)</f>
        <v/>
      </c>
    </row>
    <row r="5">
      <c r="A5" s="6" t="inlineStr">
        <is>
          <t>Chequeo_Producto</t>
        </is>
      </c>
      <c r="B5" s="6">
        <f>COUNTA(Chequeo_Producto!E4:E37)</f>
        <v/>
      </c>
      <c r="C5" s="6">
        <f>COUNTIF(Chequeo_Producto!E4:E37,"Si")</f>
        <v/>
      </c>
      <c r="D5" s="6">
        <f>COUNTIF(Chequeo_Producto!E4:E37,"No")</f>
        <v/>
      </c>
      <c r="E5" s="6">
        <f>COUNTIF(Chequeo_Producto!E4:E37,"Parcial")</f>
        <v/>
      </c>
      <c r="F5" s="6">
        <f>COUNTIF(Chequeo_Producto!E4:E37,"N.A.")</f>
        <v/>
      </c>
      <c r="G5" s="9">
        <f>IF(B5=0,0,C5/B5)</f>
        <v/>
      </c>
    </row>
    <row r="6">
      <c r="A6" s="5" t="inlineStr">
        <is>
          <t>Chequeo_Tecnico</t>
        </is>
      </c>
      <c r="B6" s="5">
        <f>COUNTA(Chequeo_Tecnico!D4:D33)</f>
        <v/>
      </c>
      <c r="C6" s="5">
        <f>COUNTIF(Chequeo_Tecnico!D4:D33,"Si")</f>
        <v/>
      </c>
      <c r="D6" s="5">
        <f>COUNTIF(Chequeo_Tecnico!D4:D33,"No")</f>
        <v/>
      </c>
      <c r="E6" s="5">
        <f>COUNTIF(Chequeo_Tecnico!D4:D33,"Parcial")</f>
        <v/>
      </c>
      <c r="F6" s="5">
        <f>COUNTIF(Chequeo_Tecnico!D4:D33,"N.A.")</f>
        <v/>
      </c>
      <c r="G6" s="8">
        <f>IF(B6=0,0,C6/B6)</f>
        <v/>
      </c>
    </row>
    <row r="7">
      <c r="A7" s="6" t="inlineStr">
        <is>
          <t>Chequeo_Sustentacion</t>
        </is>
      </c>
      <c r="B7" s="6">
        <f>COUNTA(Chequeo_Sustentacion!D4:D19)</f>
        <v/>
      </c>
      <c r="C7" s="6">
        <f>COUNTIF(Chequeo_Sustentacion!D4:D19,"Si")</f>
        <v/>
      </c>
      <c r="D7" s="6">
        <f>COUNTIF(Chequeo_Sustentacion!D4:D19,"No")</f>
        <v/>
      </c>
      <c r="E7" s="6">
        <f>COUNTIF(Chequeo_Sustentacion!D4:D19,"Parcial")</f>
        <v/>
      </c>
      <c r="F7" s="6">
        <f>COUNTIF(Chequeo_Sustentacion!D4:D19,"N.A.")</f>
        <v/>
      </c>
      <c r="G7" s="9">
        <f>IF(B7=0,0,C7/B7)</f>
        <v/>
      </c>
    </row>
    <row r="8" ht="22" customHeight="1">
      <c r="A8" s="10" t="inlineStr">
        <is>
          <t>TOTAL</t>
        </is>
      </c>
      <c r="B8" s="11">
        <f>SUM(B4:B7)</f>
        <v/>
      </c>
      <c r="C8" s="11">
        <f>SUM(C4:C7)</f>
        <v/>
      </c>
      <c r="D8" s="11">
        <f>SUM(D4:D7)</f>
        <v/>
      </c>
      <c r="E8" s="11">
        <f>SUM(E4:E7)</f>
        <v/>
      </c>
      <c r="F8" s="11">
        <f>SUM(F4:F7)</f>
        <v/>
      </c>
      <c r="G8" s="12">
        <f>IF(B8=0,0,C8/B8)</f>
        <v/>
      </c>
    </row>
    <row r="10">
      <c r="A10" s="2" t="inlineStr">
        <is>
          <t>Regla de decision</t>
        </is>
      </c>
    </row>
    <row r="11" ht="46" customHeight="1">
      <c r="A11" s="3" t="inlineStr">
        <is>
          <t>El proyecto se entrega cuando: (a) ningun criterio del Chequeo_Documental esta en No, porque son los criterios de cierre del programa; (b) el Chequeo_Tecnico no tiene ningun No; (c) el Chequeo_Producto no tiene ningun No en un modulo del alcance comprometido; y (d) el Chequeo_Sustentacion esta completo. Un Parcial es aceptable si tiene responsable y fecha anterior al congelamiento de codigo.</t>
        </is>
      </c>
    </row>
    <row r="13">
      <c r="A13" s="2" t="inlineStr">
        <is>
          <t>Situacion al 11 de septiembre de 2026</t>
        </is>
      </c>
    </row>
    <row r="14" ht="16" customHeight="1">
      <c r="A14" s="3" t="inlineStr">
        <is>
          <t>De 90 criterios, 74 cumplen, 3 estan parciales y 13 estan en No. Los 13 en No se reducen a tres asuntos, no a trece problemas distintos:</t>
        </is>
      </c>
    </row>
    <row r="15" ht="32" customHeight="1">
      <c r="A15" s="3" t="inlineStr">
        <is>
          <t>1. Las tres ramas pendientes de incorporar (2 criterios). Aparece en dos hojas porque tiene dos consecuencias: rompe la correspondencia entre lo documentado y lo entregado, y deja develop con un esquema anterior al de la base. Una sola accion cierra los dos criterios. Harryson, 22/08/2026.</t>
        </is>
      </c>
    </row>
    <row r="16" ht="32" customHeight="1">
      <c r="A16" s="3" t="inlineStr">
        <is>
          <t>2. Las claves de Google y del proveedor de captcha (2 criterios). Los dos flujos estan escritos y probados; lo que falta es generar credenciales en dos consolas externas, gratuitas y sin tarjeta. Es configuracion, no desarrollo. Harryson, 05/09/2026.</t>
        </is>
      </c>
    </row>
    <row r="17" ht="26" customHeight="1">
      <c r="A17" s="3" t="inlineStr">
        <is>
          <t>3. La preparacion de la sustentacion: datos de demostracion, guion, ensayos y plan B (9 criterios). Nueve casillas que por naturaleza se hacen al final. Harryson, Jessica y Dayana, 18/09/2026.</t>
        </is>
      </c>
    </row>
    <row r="19" ht="40" customHeight="1">
      <c r="A19" s="3" t="inlineStr">
        <is>
          <t>Decision: el proyecto NO esta listo para entregar el 11 de septiembre, y no tenia por que estarlo. Esta listo para entregar cuando los tres asuntos anteriores se cierren, todos con fecha anterior al congelamiento de codigo del 8 de septiembre. La utilidad de esta lista es precisamente esa: encontrar los trece ahora y no descubrirlos el 20 de septiembre.</t>
        </is>
      </c>
    </row>
    <row r="21">
      <c r="A21" s="2" t="inlineStr">
        <is>
          <t>Firmas</t>
        </is>
      </c>
    </row>
    <row r="22" ht="30" customHeight="1">
      <c r="A22" s="4" t="inlineStr">
        <is>
          <t>Rol</t>
        </is>
      </c>
      <c r="B22" s="4" t="inlineStr">
        <is>
          <t>Nombre</t>
        </is>
      </c>
      <c r="C22" s="4" t="inlineStr">
        <is>
          <t>Fecha</t>
        </is>
      </c>
      <c r="D22" s="4" t="inlineStr">
        <is>
          <t>Decision</t>
        </is>
      </c>
      <c r="E22" s="4" t="inlineStr"/>
      <c r="F22" s="4" t="inlineStr"/>
      <c r="G22" s="4" t="inlineStr"/>
    </row>
    <row r="23">
      <c r="A23" s="5" t="inlineStr">
        <is>
          <t>Lider del proyecto</t>
        </is>
      </c>
      <c r="B23" s="5" t="inlineStr">
        <is>
          <t>Harryson Andres [apellidos por completar]</t>
        </is>
      </c>
      <c r="C23" s="5" t="inlineStr"/>
      <c r="D23" s="5" t="inlineStr">
        <is>
          <t>Diligenciada</t>
        </is>
      </c>
      <c r="E23" s="5" t="inlineStr"/>
      <c r="F23" s="5" t="inlineStr"/>
      <c r="G23" s="5" t="inlineStr"/>
    </row>
    <row r="24">
      <c r="A24" s="6" t="inlineStr">
        <is>
          <t>Integrante</t>
        </is>
      </c>
      <c r="B24" s="6" t="inlineStr">
        <is>
          <t>Jessica [apellidos por completar]</t>
        </is>
      </c>
      <c r="C24" s="6" t="inlineStr"/>
      <c r="D24" s="6" t="inlineStr">
        <is>
          <t>Revisada</t>
        </is>
      </c>
      <c r="E24" s="6" t="inlineStr"/>
      <c r="F24" s="6" t="inlineStr"/>
      <c r="G24" s="6" t="inlineStr"/>
    </row>
    <row r="25">
      <c r="A25" s="5" t="inlineStr">
        <is>
          <t>Instructor</t>
        </is>
      </c>
      <c r="B25" s="5" t="inlineStr">
        <is>
          <t>Juan Carlos Quintero Romero</t>
        </is>
      </c>
      <c r="C25" s="5" t="inlineStr"/>
      <c r="D25" s="5" t="inlineStr">
        <is>
          <t>Aprobada / Devuelta</t>
        </is>
      </c>
      <c r="E25" s="5" t="inlineStr"/>
      <c r="F25" s="5" t="inlineStr"/>
      <c r="G25" s="5" t="inlineStr"/>
    </row>
  </sheetData>
  <mergeCells count="7">
    <mergeCell ref="A14:G14"/>
    <mergeCell ref="A17:G17"/>
    <mergeCell ref="A1:G2"/>
    <mergeCell ref="A16:G16"/>
    <mergeCell ref="A15:G15"/>
    <mergeCell ref="A19:G19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2026-08-17T15:48:45Z</dcterms:created>
  <dcterms:modified xmlns:dcterms="http://purl.org/dc/terms/" xmlns:xsi="http://www.w3.org/2001/XMLSchema-instance" xsi:type="dcterms:W3CDTF">2026-09-13T06:46:15Z</dcterms:modified>
</cp:coreProperties>
</file>